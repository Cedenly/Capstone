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ebax\Downloads\Capstone-main (3)\Capstone-main\Fase 2\Evidencias Proyecto\Evidencia de documentación\Documentos de Gestión\"/>
    </mc:Choice>
  </mc:AlternateContent>
  <xr:revisionPtr revIDLastSave="0" documentId="13_ncr:1_{7944AD05-32D0-4789-A8A5-F7B7D129A60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rta Gantt" sheetId="1" r:id="rId1"/>
    <sheet name="Resumen Ejecutivo" sheetId="2" r:id="rId2"/>
    <sheet name="Hitos" sheetId="3" r:id="rId3"/>
    <sheet name="Descripcion Activida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3Xt+WpaQYvpyHFbRacm9dnbHtfDxytzZwfY6nMsaVU="/>
    </ext>
  </extLst>
</workbook>
</file>

<file path=xl/calcChain.xml><?xml version="1.0" encoding="utf-8"?>
<calcChain xmlns="http://schemas.openxmlformats.org/spreadsheetml/2006/main">
  <c r="G15" i="2" l="1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C9" i="2"/>
  <c r="D9" i="2"/>
  <c r="E9" i="2"/>
  <c r="F9" i="2"/>
  <c r="G9" i="2"/>
  <c r="B9" i="2"/>
  <c r="E14" i="3"/>
  <c r="E13" i="3"/>
  <c r="E12" i="3"/>
  <c r="E11" i="3"/>
  <c r="E10" i="3"/>
  <c r="E9" i="3"/>
  <c r="E8" i="3"/>
  <c r="E7" i="3"/>
  <c r="G5" i="2"/>
  <c r="E5" i="2"/>
  <c r="A5" i="2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ID#doco._RibTVqZo9UfPU8On-J9nA
Unknown Author    (2026-09-09 18:36:46)
Supuesto de planificacion: Semana 1 inicia el lunes 17-08-2026. Con este supuesto, la evaluacion Sumativa Fase 1 (Semana 4, segun la rubrica oficial) cae entre el 07 y el 13 de septiembre de 2026, consistente con la fecha de elaboracion de este documento. Ajustar esta celda si el docente confirma una fecha de inicio distinta; todas las fechas de la carta Gantt se recalculan automaticamente.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SnyvQRyQnIoqqmF554HxIClb3g=="/>
    </ext>
  </extLst>
</comments>
</file>

<file path=xl/sharedStrings.xml><?xml version="1.0" encoding="utf-8"?>
<sst xmlns="http://schemas.openxmlformats.org/spreadsheetml/2006/main" count="557" uniqueCount="217">
  <si>
    <t>Resumen Ejecutivo del Cronograma</t>
  </si>
  <si>
    <t>Hitos y Entregables del Proyecto</t>
  </si>
  <si>
    <t>Duracion total planificada: 18 semanas | Metodologia: incremental (5 incrementos) + cierre institucional</t>
  </si>
  <si>
    <t>Semana actual</t>
  </si>
  <si>
    <t>Carta Gantt - Proyecto "Aprueba Administracion" - Modulo de pasarela de pago y suscripcion</t>
  </si>
  <si>
    <t>ID</t>
  </si>
  <si>
    <t>Descripcion de Actividades</t>
  </si>
  <si>
    <t>Duracion total (semanas)</t>
  </si>
  <si>
    <t>Hito / Entregable</t>
  </si>
  <si>
    <t>Fase</t>
  </si>
  <si>
    <t>Semana</t>
  </si>
  <si>
    <t>Hitos totales</t>
  </si>
  <si>
    <t>Fecha estimada</t>
  </si>
  <si>
    <t>Describe en detalle cada actividad presentada en la Carta Gantt, indicando a que Fase(s) del proyecto pertenece.</t>
  </si>
  <si>
    <t>Porcentaje de tareas completadas</t>
  </si>
  <si>
    <t>Duoc UC | PTY4614 - Capstone | Empresa colaboradora: Alloxentric | Docente: Luis Bravo | Equipo: Sebastian Araya Hernandez, Cesar Garrido Trujillo, Thiare Gomez</t>
  </si>
  <si>
    <t>Selección y definición del proyecto APT (Aprueba Administración)</t>
  </si>
  <si>
    <t>Actividad</t>
  </si>
  <si>
    <t>Incremento 1: Levantamiento y Diseño (S1-S4)</t>
  </si>
  <si>
    <t>Fecha de corte</t>
  </si>
  <si>
    <t>Fase 1</t>
  </si>
  <si>
    <t>Fase 2</t>
  </si>
  <si>
    <t>S2</t>
  </si>
  <si>
    <t>Fase 3</t>
  </si>
  <si>
    <t>Descripcion</t>
  </si>
  <si>
    <t>Fecha de revisión</t>
  </si>
  <si>
    <t>Fecha inicio Semana 1:</t>
  </si>
  <si>
    <t>Entrega de contenido completo del proyecto por parte de la empresa</t>
  </si>
  <si>
    <t>S3</t>
  </si>
  <si>
    <t>Asignación del módulo: pasarela de pago y suscripción</t>
  </si>
  <si>
    <t>Hito: entrega Documentación Formal / Plan de Proyecto</t>
  </si>
  <si>
    <t>Primera reunión con la empresa colaboradora (Alloxentric) - kickoff</t>
  </si>
  <si>
    <t>X</t>
  </si>
  <si>
    <t>Semana actual del proyecto:</t>
  </si>
  <si>
    <t>Reunión inicial con la empresa colaboradora Alloxentric y el docente guía para presentar al equipo, validar expectativas y acordar la modalidad de trabajo del capstone.</t>
  </si>
  <si>
    <t>Levantamiento de requerimientos funcionales y no funcionales, historias de usuario, diagrama de actividad</t>
  </si>
  <si>
    <t>Recopilación y documentación de los requerimientos funcionales (que debe hacer el sistema) y no funcionales (seguridad, usabilidad, rendimiento) del modulo de pasarela de pago y suscripcion, además d elas historias de usuario y diagramas de actividad</t>
  </si>
  <si>
    <t>Análisis de la plataforma "Aprueba Administracion" existente</t>
  </si>
  <si>
    <t>Revision de la plataforma "Aprueba Administracion" ya existente para identificar sus modulos actuales, tecnologias utilizadas y puntos de integracion con el nuevo modulo.</t>
  </si>
  <si>
    <t>Definicion de alcance, objetivos, mockups inicial, planificación (EDT y Carta Gantt), actas de reuniones, estados de avance y resolución de conflictos</t>
  </si>
  <si>
    <t>Toda la documentación formal, definición formal del alcance del proyecto, los objetivos general y especificos, y elaboración de la Estructura de Desglose de Trabajo (EDT), la Carta Gantt, actas de reuniones, estados de avance y resolución de conflictos.</t>
  </si>
  <si>
    <t>Diseño del modelo de datos y de clases: planes, suscripciones y usuarios + Documentación stakeholder's</t>
  </si>
  <si>
    <t>Diseño del modelo de datos (entidades y relaciones) para planes de suscripcion, suscripciones activas y usuarios de la plataforma, diagrama de clases y documentación de stakeholder's</t>
  </si>
  <si>
    <t>Hito: presentación inicial</t>
  </si>
  <si>
    <t>S4</t>
  </si>
  <si>
    <t>Elaboración de Documentación Formal / Plan de Proyecto</t>
  </si>
  <si>
    <t>Redacción del documento formal del proyecto (Plan de Proyecto APT), que consolida contexto, objetivos, alcance, metodologia y planificación.</t>
  </si>
  <si>
    <t>Hito: Incremento 2 validado</t>
  </si>
  <si>
    <t>Incremento 2: Gestión de Planes y Suscripciones (S4-S6)</t>
  </si>
  <si>
    <t>S6</t>
  </si>
  <si>
    <t>Corte del avance: 30-10-2026. Inicio: 13-08-2026. La semana del proyecto se calcula desde ese inicio. Las fechas académicas se rigen por la pauta de la asignatura.</t>
  </si>
  <si>
    <t>Fase / Incremento</t>
  </si>
  <si>
    <t>Sem. Inicio</t>
  </si>
  <si>
    <t>Hito: Incremento 3 validado</t>
  </si>
  <si>
    <t>Hito de control: entrega oficial de la Documentacion Formal y el Plan de Proyecto.</t>
  </si>
  <si>
    <t>Incremento 3: Checkout y Suscripción (S7-S9)</t>
  </si>
  <si>
    <t>S9</t>
  </si>
  <si>
    <t>Sem. Fin</t>
  </si>
  <si>
    <t>Duracion (sem)</t>
  </si>
  <si>
    <t>N° Tareas</t>
  </si>
  <si>
    <t>N° Hitos</t>
  </si>
  <si>
    <t>Elaboración Informe Fase 1</t>
  </si>
  <si>
    <t>Tareas completadas</t>
  </si>
  <si>
    <t>ACTIVIDAD</t>
  </si>
  <si>
    <t>Elaboración del Informe Fase 1, que documenta el avance conceptual y metodológico del proyecto.</t>
  </si>
  <si>
    <t>Hito: Incremento 4 validado</t>
  </si>
  <si>
    <t>Incremento 4: Integración Pasarela de Pago - Stripe (S10-S13)</t>
  </si>
  <si>
    <t>Preparacion y ensayo presentacion Sumativa Fase 1</t>
  </si>
  <si>
    <t>S13</t>
  </si>
  <si>
    <t>Ensayo grupal de la presentación inicial, repartiendo tiempos y contenidos entre los integrantes.</t>
  </si>
  <si>
    <t>FASES DEL PROYECTO</t>
  </si>
  <si>
    <t>Hito: presentacion Sumativa Fase 1 (heteroevaluacion, 20%)</t>
  </si>
  <si>
    <t>Hito de evaluación: presentación inicial oral de 15 minutos</t>
  </si>
  <si>
    <t xml:space="preserve">Hito: Incremento 5 validado </t>
  </si>
  <si>
    <t>Incremento 5: Cierre, Pruebas Integrales y Entrega (S14-S16)</t>
  </si>
  <si>
    <t>S16</t>
  </si>
  <si>
    <t>DATOS DE PLANIFICACION</t>
  </si>
  <si>
    <t>Diseño de la arquitectura (módulo pago y suscripción)</t>
  </si>
  <si>
    <t>Hito: entrega Informe Final</t>
  </si>
  <si>
    <t>Fase 3: Cierre Proyecto (S17-S18)</t>
  </si>
  <si>
    <t>S18</t>
  </si>
  <si>
    <t>FASE 1 (S1-S4)</t>
  </si>
  <si>
    <t xml:space="preserve">Diseño de la arquitectura de la solución: componentes de backend, frontend, base de datos y su interacción con la pasarela de pago externa. </t>
  </si>
  <si>
    <t>FASE 2 (S5-S16)</t>
  </si>
  <si>
    <t>Desarrollo CRUD de planes de suscripción (backend)</t>
  </si>
  <si>
    <t>Hito: presentacion Final</t>
  </si>
  <si>
    <t>Desarrollo de las operaciones de backend (crear, leer, actualizar, eliminar) para la gestión de planes de suscripción.</t>
  </si>
  <si>
    <t>Desarrollo de interfaz de gestión de planes (frontend)</t>
  </si>
  <si>
    <t>Construcción de la interfaz que permite a un administrador crear, editar y visualizar los planes de suscripción disponibles.</t>
  </si>
  <si>
    <t>Implementación de asignación de suscripción a usuario</t>
  </si>
  <si>
    <t>FASE 3 (S17-S18)</t>
  </si>
  <si>
    <t>Implementación de la lógica que asocia un plan de suscripción a un usuario específico de la plataforma.</t>
  </si>
  <si>
    <t>Pruebas unitarias del modulo de planes</t>
  </si>
  <si>
    <t>Ejecución de pruebas unitarias sobre las funciones del módulo de planes para verificar su correcto funcionamiento.</t>
  </si>
  <si>
    <t>Incremento</t>
  </si>
  <si>
    <t>Hito de control: validación interna del Incremento 2 (gestion de planes y suscripciones) antes de avanzar al siguiente incremento.</t>
  </si>
  <si>
    <t>Responsable</t>
  </si>
  <si>
    <t>Tipo</t>
  </si>
  <si>
    <t>Sem.
Inicio</t>
  </si>
  <si>
    <t>Diseño UX/UI del flujo de checkout</t>
  </si>
  <si>
    <t>Sem.
Fin</t>
  </si>
  <si>
    <t>Duracion
(semanas)</t>
  </si>
  <si>
    <t>Fecha
Inicio</t>
  </si>
  <si>
    <t>Fecha
Fin</t>
  </si>
  <si>
    <t>Estado</t>
  </si>
  <si>
    <t>Diseño de la experiencia e interfaz de usuario (UX/UI) del flujo de checkout, priorizando claridad y facilidad de uso.</t>
  </si>
  <si>
    <t>S1</t>
  </si>
  <si>
    <t>Desarrollo del flujo de checkout (plan y datos de pago)</t>
  </si>
  <si>
    <t>Desarrollo del flujo de checkout, incluyendo la selección del plan y el ingreso de los datos de pago.</t>
  </si>
  <si>
    <t>Validación de formularios y reglas de negocio</t>
  </si>
  <si>
    <t>S5</t>
  </si>
  <si>
    <t>S7</t>
  </si>
  <si>
    <t>Implementación de validaciones de formulario y reglas de negocio (campos obligatorios, formatos validos) en el flujo de compra.</t>
  </si>
  <si>
    <t>S8</t>
  </si>
  <si>
    <t>Integración de checkout con módulo de suscripciones</t>
  </si>
  <si>
    <t>S10</t>
  </si>
  <si>
    <t>S11</t>
  </si>
  <si>
    <t>S12</t>
  </si>
  <si>
    <t>Integración del flujo de checkout con el módulo de gestión de suscripciones desarrollado en el Incremento 2.</t>
  </si>
  <si>
    <t>S14</t>
  </si>
  <si>
    <t>S15</t>
  </si>
  <si>
    <t>Mockups y prototipo navegable de checkout</t>
  </si>
  <si>
    <t>S17</t>
  </si>
  <si>
    <t>Elaboración de mockups y un prototipo navegable del checkout para validar la experiencia de usuario antes de programarlo.</t>
  </si>
  <si>
    <t>Observaciones del avance</t>
  </si>
  <si>
    <t>Pruebas end-to-end del flujo de checkout</t>
  </si>
  <si>
    <t>Pruebas end-to-end del flujo completo de checkout, simulando el recorrido real de un usuario.</t>
  </si>
  <si>
    <t>Hito de control: validación interna del Incremento 3 (checkout y suscripción).</t>
  </si>
  <si>
    <t>Todo el equipo</t>
  </si>
  <si>
    <t>Tarea</t>
  </si>
  <si>
    <t>Configuración de cuenta sandbox Stripe</t>
  </si>
  <si>
    <t>Creación y configuración de una cuenta de prueba (sandbox) en Stripe para el desarrollo y pruebas de la integración de pagos.</t>
  </si>
  <si>
    <t>Integración API Stripe (checkout session y webhooks)</t>
  </si>
  <si>
    <t>Integración de la API de Stripe, incluyendo la creación de sesiones de checkout y la configuración de webhooks para recibir eventos de pago.</t>
  </si>
  <si>
    <t>Manejo de estados de pago (pendiente, aprobado, rechazado)</t>
  </si>
  <si>
    <t>Implementación del manejo de los distintos estados de una transacción de pago: pendiente, aprobado y rechazado.</t>
  </si>
  <si>
    <t>Confirmación de pago y activacion automática de suscripción</t>
  </si>
  <si>
    <t>Desarrollo de la lógica que confirma un pago exitoso y activa automáticamente la suscripción correspondiente del usuario.</t>
  </si>
  <si>
    <t>Notificaciones al usuario (correo y confirmacion en pantalla)</t>
  </si>
  <si>
    <t>Implementación de notificaciones al usuario (correo electrónico y en pantalla) para confirmar el resultado de su pago.</t>
  </si>
  <si>
    <t>Pruebas de integracion con pasarela (casos éxito y error)</t>
  </si>
  <si>
    <t>Pruebas de integración con la pasarela de pago, cubriendo casos de exito y de error o rechazo.</t>
  </si>
  <si>
    <t>Hito de control: validación interna del Incremento 4 (integración con la pasarela de pago Stripe).</t>
  </si>
  <si>
    <t>Pruebas integrales del sistema (regresión)</t>
  </si>
  <si>
    <t>Completado</t>
  </si>
  <si>
    <t>Sebastián Araya</t>
  </si>
  <si>
    <t>Ejecución de pruebas integrales (de regresión) sobre todo el sistema para asegurar que los módulos desarrollados funcionan correctamente en conjunto.</t>
  </si>
  <si>
    <t>Corrección de observaciones y ajustes finales</t>
  </si>
  <si>
    <t>Corrección de observaciones detectadas en las pruebas y ajustes finales de funcionalidad y diseño.</t>
  </si>
  <si>
    <t>Elaboración de manual de usuario y documentación técnica</t>
  </si>
  <si>
    <t>Redacción del manual de usuario y de la documentación tecnica del modulo desarrollado.</t>
  </si>
  <si>
    <t>Preparación de evidencias y respaldo del proyecto</t>
  </si>
  <si>
    <t>Recopilación de evidencias del trabajo realizado (capturas, documentos, registros) y respaldo del proyecto.</t>
  </si>
  <si>
    <t>Validación final con empresa colaboradora (Alloxentric)</t>
  </si>
  <si>
    <t>Validación final del modulo junto a la empresa colaboradora Alloxentric, recogiendo su retroalimentación.</t>
  </si>
  <si>
    <t>Hito de control: validación del Incremento 5 Final validado.</t>
  </si>
  <si>
    <t>Definición de alcance, objetivos, mockups, planificación (EDT y Carta Gantt), actas de reuniones, estados de avance y resolución de conflictos</t>
  </si>
  <si>
    <t>Thiare Gomez</t>
  </si>
  <si>
    <t>Elaboracion del informe final</t>
  </si>
  <si>
    <t>Cesar Garrido</t>
  </si>
  <si>
    <t>Elaboración del informe final del proyecto, consolidando el desarrollo de ingeniería realizado durante todo el semestre.</t>
  </si>
  <si>
    <t>Redaccion de conclusiones y reflexiones individuales</t>
  </si>
  <si>
    <t>Redacción de las conclusiones y reflexiones individuales de cada integrante del equipo.</t>
  </si>
  <si>
    <t>Ensayo de presentacion final</t>
  </si>
  <si>
    <t>Ensayo  de la presentación grupal Final</t>
  </si>
  <si>
    <t>Hito de entrega: envio del Informe Final del proyecto en el formato y plazo establecidos.</t>
  </si>
  <si>
    <t>Hito: presentación Final</t>
  </si>
  <si>
    <t>Hito de evaluacion: presentación oral final del proyecto.</t>
  </si>
  <si>
    <t>Actas de reunion y control de avance semanal</t>
  </si>
  <si>
    <t>Hito: entrega Documentacion Formal / Plan de Proyecto</t>
  </si>
  <si>
    <t>Elaboración semanal de actas de reunión y registro del estado de avance del proyecto durante todo el semestre.</t>
  </si>
  <si>
    <t>Reuniones de seguimiento</t>
  </si>
  <si>
    <t>Hito</t>
  </si>
  <si>
    <t>Reuniones periodicas de seguimiento con el equipo, el docente guia y con la empresa para reportar avances, resolver dudas o conflictos.</t>
  </si>
  <si>
    <t>Gestion de riesgos y control de cambios</t>
  </si>
  <si>
    <t>Identificación, seguimiento y gestión de riesgos del proyecto, junto con el control de cambios de alcance o planificación.</t>
  </si>
  <si>
    <t>◆</t>
  </si>
  <si>
    <t xml:space="preserve">Elaboración Informe Fase 1 </t>
  </si>
  <si>
    <t>Preparación y presentación inicial del proyecto</t>
  </si>
  <si>
    <t xml:space="preserve">Hito: presentacion inicial </t>
  </si>
  <si>
    <t>En curso</t>
  </si>
  <si>
    <t>Diseño técnico y modelo de datos disponibles; no acredita validación integral de la arquitectura.</t>
  </si>
  <si>
    <t>Sebastian Araya</t>
  </si>
  <si>
    <t>IF-08: crear, eliminar, publicar y cambiar precio pendientes de habilitación; no se acredita CRUD completo. Fuente: ../Resultados de las pruebas/Resultados_de_pruebas.docx.</t>
  </si>
  <si>
    <t>Consulta visible en IF-08; edición no ejecutada ni persistencia comprobada. Fuente: ../Resultados de las pruebas/Resultados_de_pruebas.docx.</t>
  </si>
  <si>
    <t>Datos y permisos recibidos. Persistencia observada; acceso completo por M2 e Historia sin validar.</t>
  </si>
  <si>
    <t>Pruebas unitarias del módulo de planes</t>
  </si>
  <si>
    <t>Planificado</t>
  </si>
  <si>
    <t>No se recibieron resultados de pruebas unitarias. IF-08 es prueba de interfaz, no unitaria. Fuente: ../Resultados de las pruebas/Resultados_de_pruebas.docx.</t>
  </si>
  <si>
    <t>I2 no validado integralmente: CRUD y cambios de precio pendientes. Fuente: ../Resultados de las pruebas/Resultados_de_pruebas.docx.</t>
  </si>
  <si>
    <t>Gestión Transversal (S1-S18)</t>
  </si>
  <si>
    <t>Estado al 21-10-2026; evidencia DAD_20_TICKETS_CORESTREAM_12-10-2026.docx (T2, T11); cubre apertura de Checkout y retorno a Mi plan para la compra mensual; pendiente: validación end-to-end ampliada (ver fila 27).</t>
  </si>
  <si>
    <t>IF-01 valida login; IF-13 registra hallazgos de contratación. No prueba todas las reglas de negocio. Fuente: ../Resultados de las pruebas/Resultados_de_pruebas.docx.</t>
  </si>
  <si>
    <t>Compra aprobada vinculada a suscripción y factura. Contratación anual documentada; cobertura de materias parcial.</t>
  </si>
  <si>
    <t>Compra mensual y anual evaluadas. Ciclo de suscripción y cobertura de materias parciales.</t>
  </si>
  <si>
    <t>Nota: el porcentaje da el mismo peso a cada tarea; no representa esfuerzo invertido ni cumplimiento funcional. Los estados «En curso» no suman al porcentaje.</t>
  </si>
  <si>
    <t>I3 parcial. PG-08/09 aprobados en interfaz; cobertura completa de contratación pendiente. Fuente: ../Resultados de las pruebas/Resultados_de_pruebas.docx.</t>
  </si>
  <si>
    <t>Sandbox operativo. Pagos: 25 casos, 11 aprobados, 13 parciales y 1 no ejecutado.</t>
  </si>
  <si>
    <t>Checkout y eventos disponibles. Reentrega real acreditada; concurrencia y desorden con límites de entorno.</t>
  </si>
  <si>
    <t>Pagos aprobados, fallidos y recuperados documentados. Ciclo temporal y auditoría incompletos.</t>
  </si>
  <si>
    <t>Confirmación de pago y activación automática de suscripción</t>
  </si>
  <si>
    <t>Activación documentada en los recorridos probados. Validación por todas las materias pendiente.</t>
  </si>
  <si>
    <t>Notificaciones al usuario (correo y confirmación en pantalla)</t>
  </si>
  <si>
    <t>PG21 no ejecutado: canal y emisor financiero sin acreditar.</t>
  </si>
  <si>
    <t>Pruebas de integración con pasarela (casos exito y error)</t>
  </si>
  <si>
    <t>Evaluación del avance realizada: 57 casos, 30 aprobados, 17 parciales, 2 fallidos, 7 bloqueados y 1 no ejecutado.</t>
  </si>
  <si>
    <t>Integración parcial; faltan criterios de ciclo, auditoría y rendimiento para validar el incremento completo.</t>
  </si>
  <si>
    <t>Hito: Incremento 5 validado</t>
  </si>
  <si>
    <t>Elaboración del informe final</t>
  </si>
  <si>
    <t>Redacción de conclusiones y reflexiones individuales</t>
  </si>
  <si>
    <t>Ensayo de presentación final del Proyecto</t>
  </si>
  <si>
    <t>Actas de reunión y control de avance semanal</t>
  </si>
  <si>
    <t xml:space="preserve">Reuniones de seguimiento </t>
  </si>
  <si>
    <t>Gestión de riesgos y control de cambios</t>
  </si>
  <si>
    <t>Leyenda:</t>
  </si>
  <si>
    <t xml:space="preserve">  </t>
  </si>
  <si>
    <t>◆ Hito / entregable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</si>
</sst>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d/m/yyyy"/>
    <numFmt numFmtId="166" formatCode="dd\-mm\-yyyy"/>
    <numFmt numFmtId="167" formatCode="dd\-mmm"/>
  </numFmts>
  <fonts count="21" x14ac:knownFonts="1">
    <font>
      <sz val="11"/>
      <color theme="1"/>
      <name val="Calibri"/>
      <scheme val="minor"/>
    </font>
    <font>
      <b/>
      <sz val="16"/>
      <color rgb="FF0F1729"/>
      <name val="Calibri"/>
    </font>
    <font>
      <i/>
      <sz val="10"/>
      <color rgb="FF5B6B85"/>
      <name val="Calibri"/>
    </font>
    <font>
      <b/>
      <sz val="9"/>
      <color rgb="FFFFFFFF"/>
      <name val="Calibri"/>
    </font>
    <font>
      <sz val="11"/>
      <name val="Calibri"/>
    </font>
    <font>
      <b/>
      <sz val="10"/>
      <color rgb="FFFFFFFF"/>
      <name val="Calibri"/>
    </font>
    <font>
      <sz val="10"/>
      <color rgb="FF1A1A1A"/>
      <name val="Calibri"/>
    </font>
    <font>
      <b/>
      <sz val="10"/>
      <color rgb="FFAD7A0C"/>
      <name val="Calibri"/>
    </font>
    <font>
      <b/>
      <sz val="9"/>
      <color theme="1"/>
      <name val="Cambria"/>
    </font>
    <font>
      <b/>
      <sz val="9"/>
      <color rgb="FF0F1729"/>
      <name val="Calibri"/>
    </font>
    <font>
      <b/>
      <sz val="18"/>
      <color rgb="FFAD7A0C"/>
      <name val="Calibri"/>
    </font>
    <font>
      <b/>
      <sz val="9"/>
      <color rgb="FFAD7A0C"/>
      <name val="Calibri"/>
    </font>
    <font>
      <sz val="10"/>
      <color rgb="FFAD7A0C"/>
      <name val="Calibri"/>
    </font>
    <font>
      <b/>
      <i/>
      <sz val="10"/>
      <color rgb="FFAD7A0C"/>
      <name val="Calibri"/>
    </font>
    <font>
      <i/>
      <sz val="9"/>
      <color rgb="FF666666"/>
      <name val="Cambria"/>
    </font>
    <font>
      <sz val="11"/>
      <color theme="1"/>
      <name val="Calibri"/>
    </font>
    <font>
      <b/>
      <sz val="11"/>
      <color rgb="FFFFFFFF"/>
      <name val="Calibri"/>
    </font>
    <font>
      <b/>
      <sz val="12"/>
      <color rgb="FFAD7A0C"/>
      <name val="Calibri"/>
    </font>
    <font>
      <sz val="9"/>
      <color theme="1"/>
      <name val="Cambria"/>
    </font>
    <font>
      <b/>
      <sz val="10"/>
      <color rgb="FF0F1729"/>
      <name val="Calibri"/>
    </font>
    <font>
      <sz val="9"/>
      <color rgb="FF5B6B85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B2C49"/>
        <bgColor rgb="FF1B2C49"/>
      </patternFill>
    </fill>
    <fill>
      <patternFill patternType="solid">
        <fgColor rgb="FF0F1729"/>
        <bgColor rgb="FF0F1729"/>
      </patternFill>
    </fill>
    <fill>
      <patternFill patternType="solid">
        <fgColor rgb="FFFBF1DC"/>
        <bgColor rgb="FFFBF1DC"/>
      </patternFill>
    </fill>
    <fill>
      <patternFill patternType="solid">
        <fgColor rgb="FFDCE6F5"/>
        <bgColor rgb="FFDCE6F5"/>
      </patternFill>
    </fill>
    <fill>
      <patternFill patternType="solid">
        <fgColor rgb="FFF2F5FA"/>
        <bgColor rgb="FFF2F5FA"/>
      </patternFill>
    </fill>
    <fill>
      <patternFill patternType="solid">
        <fgColor rgb="FFAD7A0C"/>
        <bgColor rgb="FFAD7A0C"/>
      </patternFill>
    </fill>
    <fill>
      <patternFill patternType="solid">
        <fgColor rgb="FFE4F0E8"/>
        <bgColor rgb="FFE4F0E8"/>
      </patternFill>
    </fill>
    <fill>
      <patternFill patternType="solid">
        <fgColor rgb="FF2B4772"/>
        <bgColor rgb="FF2B4772"/>
      </patternFill>
    </fill>
    <fill>
      <patternFill patternType="solid">
        <fgColor rgb="FFF5E3DC"/>
        <bgColor rgb="FFF5E3DC"/>
      </patternFill>
    </fill>
    <fill>
      <patternFill patternType="solid">
        <fgColor rgb="FFE8E1F2"/>
        <bgColor rgb="FFE8E1F2"/>
      </patternFill>
    </fill>
    <fill>
      <patternFill patternType="solid">
        <fgColor rgb="FFFFFFFF"/>
        <bgColor rgb="FFFFFFFF"/>
      </patternFill>
    </fill>
    <fill>
      <patternFill patternType="solid">
        <fgColor rgb="FF2E7D4F"/>
        <bgColor rgb="FF2E7D4F"/>
      </patternFill>
    </fill>
    <fill>
      <patternFill patternType="solid">
        <fgColor rgb="FFF2D9DC"/>
        <bgColor rgb="FFF2D9DC"/>
      </patternFill>
    </fill>
    <fill>
      <patternFill patternType="solid">
        <fgColor rgb="FFECECEC"/>
        <bgColor rgb="FFECECEC"/>
      </patternFill>
    </fill>
    <fill>
      <patternFill patternType="solid">
        <fgColor rgb="FFD9A520"/>
        <bgColor rgb="FFD9A52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4DAE5"/>
      </left>
      <right style="thin">
        <color rgb="FFD4DAE5"/>
      </right>
      <top style="thin">
        <color rgb="FFD4DAE5"/>
      </top>
      <bottom style="thin">
        <color rgb="FFD4DAE5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3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/>
    </xf>
    <xf numFmtId="0" fontId="8" fillId="0" borderId="0" xfId="0" applyFont="1"/>
    <xf numFmtId="164" fontId="6" fillId="4" borderId="4" xfId="0" applyNumberFormat="1" applyFont="1" applyFill="1" applyBorder="1" applyAlignment="1">
      <alignment horizontal="center" vertical="center"/>
    </xf>
    <xf numFmtId="0" fontId="9" fillId="0" borderId="0" xfId="0" applyFont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/>
    </xf>
    <xf numFmtId="165" fontId="11" fillId="0" borderId="0" xfId="0" applyNumberFormat="1" applyFont="1"/>
    <xf numFmtId="0" fontId="7" fillId="5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14" fillId="0" borderId="0" xfId="0" applyFont="1"/>
    <xf numFmtId="0" fontId="12" fillId="4" borderId="4" xfId="0" applyFont="1" applyFill="1" applyBorder="1" applyAlignment="1">
      <alignment horizontal="left" vertical="center" wrapText="1"/>
    </xf>
    <xf numFmtId="166" fontId="15" fillId="0" borderId="0" xfId="0" applyNumberFormat="1" applyFont="1"/>
    <xf numFmtId="0" fontId="6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/>
    </xf>
    <xf numFmtId="167" fontId="6" fillId="5" borderId="4" xfId="0" applyNumberFormat="1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/>
    </xf>
    <xf numFmtId="0" fontId="15" fillId="12" borderId="4" xfId="0" applyFont="1" applyFill="1" applyBorder="1"/>
    <xf numFmtId="0" fontId="15" fillId="13" borderId="4" xfId="0" applyFont="1" applyFill="1" applyBorder="1"/>
    <xf numFmtId="0" fontId="6" fillId="14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167" fontId="13" fillId="4" borderId="4" xfId="0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167" fontId="6" fillId="8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/>
    <xf numFmtId="0" fontId="18" fillId="0" borderId="0" xfId="0" applyFont="1" applyAlignment="1">
      <alignment vertical="top" wrapText="1"/>
    </xf>
    <xf numFmtId="167" fontId="6" fillId="4" borderId="4" xfId="0" applyNumberFormat="1" applyFont="1" applyFill="1" applyBorder="1" applyAlignment="1">
      <alignment horizontal="center" vertical="center"/>
    </xf>
    <xf numFmtId="0" fontId="15" fillId="16" borderId="4" xfId="0" applyFont="1" applyFill="1" applyBorder="1"/>
    <xf numFmtId="0" fontId="6" fillId="10" borderId="4" xfId="0" applyFont="1" applyFill="1" applyBorder="1" applyAlignment="1">
      <alignment horizontal="left" vertical="center"/>
    </xf>
    <xf numFmtId="167" fontId="6" fillId="10" borderId="4" xfId="0" applyNumberFormat="1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/>
    </xf>
    <xf numFmtId="167" fontId="6" fillId="11" borderId="4" xfId="0" applyNumberFormat="1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left" vertical="center"/>
    </xf>
    <xf numFmtId="167" fontId="6" fillId="14" borderId="4" xfId="0" applyNumberFormat="1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left" vertical="center"/>
    </xf>
    <xf numFmtId="167" fontId="6" fillId="15" borderId="4" xfId="0" applyNumberFormat="1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5" fillId="4" borderId="4" xfId="0" applyFont="1" applyFill="1" applyBorder="1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16" fillId="7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9" fontId="10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00"/>
  <sheetViews>
    <sheetView showGridLines="0" topLeftCell="G1" workbookViewId="0">
      <pane ySplit="5" topLeftCell="A6" activePane="bottomLeft" state="frozen"/>
      <selection pane="bottomLeft" activeCell="AG43" sqref="AG43"/>
    </sheetView>
  </sheetViews>
  <sheetFormatPr baseColWidth="10" defaultColWidth="14.42578125" defaultRowHeight="15" customHeight="1" x14ac:dyDescent="0.25"/>
  <cols>
    <col min="1" max="1" width="18.140625" customWidth="1"/>
    <col min="2" max="2" width="58.5703125" customWidth="1"/>
    <col min="3" max="3" width="95.85546875" customWidth="1"/>
    <col min="4" max="6" width="7" customWidth="1"/>
    <col min="7" max="7" width="16" customWidth="1"/>
    <col min="8" max="8" width="9" customWidth="1"/>
    <col min="9" max="10" width="8" customWidth="1"/>
    <col min="11" max="11" width="10" customWidth="1"/>
    <col min="12" max="13" width="11" customWidth="1"/>
    <col min="14" max="14" width="13" customWidth="1"/>
    <col min="15" max="32" width="4.28515625" customWidth="1"/>
    <col min="33" max="33" width="70" customWidth="1"/>
    <col min="34" max="34" width="14" customWidth="1"/>
    <col min="35" max="35" width="16" customWidth="1"/>
  </cols>
  <sheetData>
    <row r="1" spans="1:35" ht="25.5" customHeight="1" x14ac:dyDescent="0.25">
      <c r="A1" s="63" t="s">
        <v>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</row>
    <row r="2" spans="1:35" ht="15.75" customHeight="1" x14ac:dyDescent="0.25">
      <c r="A2" s="65" t="s">
        <v>15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H2" s="5" t="s">
        <v>19</v>
      </c>
      <c r="AI2" s="5" t="s">
        <v>25</v>
      </c>
    </row>
    <row r="3" spans="1:35" ht="15" customHeight="1" x14ac:dyDescent="0.25">
      <c r="A3" s="7" t="s">
        <v>26</v>
      </c>
      <c r="B3" s="10">
        <v>46247</v>
      </c>
      <c r="D3" s="7" t="s">
        <v>33</v>
      </c>
      <c r="F3" s="14">
        <f>MAX(1,MIN(18,ROUNDUP(($AH$3-$B$3+1)/7,0)))</f>
        <v>12</v>
      </c>
      <c r="H3" s="16" t="s">
        <v>50</v>
      </c>
      <c r="AH3" s="18">
        <v>46325</v>
      </c>
      <c r="AI3" s="18">
        <v>46325</v>
      </c>
    </row>
    <row r="4" spans="1:35" ht="15.75" customHeight="1" x14ac:dyDescent="0.25">
      <c r="A4" s="66" t="s">
        <v>63</v>
      </c>
      <c r="B4" s="67"/>
      <c r="C4" s="67"/>
      <c r="D4" s="68" t="s">
        <v>70</v>
      </c>
      <c r="E4" s="67"/>
      <c r="F4" s="67"/>
      <c r="G4" s="66" t="s">
        <v>76</v>
      </c>
      <c r="H4" s="67"/>
      <c r="I4" s="67"/>
      <c r="J4" s="67"/>
      <c r="K4" s="67"/>
      <c r="L4" s="67"/>
      <c r="M4" s="67"/>
      <c r="N4" s="67"/>
      <c r="O4" s="66" t="s">
        <v>81</v>
      </c>
      <c r="P4" s="67"/>
      <c r="Q4" s="67"/>
      <c r="R4" s="67"/>
      <c r="S4" s="69" t="s">
        <v>83</v>
      </c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70" t="s">
        <v>90</v>
      </c>
      <c r="AF4" s="67"/>
    </row>
    <row r="5" spans="1:35" ht="30" customHeight="1" x14ac:dyDescent="0.25">
      <c r="A5" s="22" t="s">
        <v>5</v>
      </c>
      <c r="B5" s="22" t="s">
        <v>94</v>
      </c>
      <c r="C5" s="22" t="s">
        <v>17</v>
      </c>
      <c r="D5" s="22" t="s">
        <v>20</v>
      </c>
      <c r="E5" s="22" t="s">
        <v>21</v>
      </c>
      <c r="F5" s="22" t="s">
        <v>23</v>
      </c>
      <c r="G5" s="22" t="s">
        <v>96</v>
      </c>
      <c r="H5" s="22" t="s">
        <v>97</v>
      </c>
      <c r="I5" s="22" t="s">
        <v>98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4" t="s">
        <v>106</v>
      </c>
      <c r="P5" s="24" t="s">
        <v>22</v>
      </c>
      <c r="Q5" s="24" t="s">
        <v>28</v>
      </c>
      <c r="R5" s="24" t="s">
        <v>44</v>
      </c>
      <c r="S5" s="24" t="s">
        <v>110</v>
      </c>
      <c r="T5" s="24" t="s">
        <v>49</v>
      </c>
      <c r="U5" s="24" t="s">
        <v>111</v>
      </c>
      <c r="V5" s="24" t="s">
        <v>113</v>
      </c>
      <c r="W5" s="24" t="s">
        <v>56</v>
      </c>
      <c r="X5" s="24" t="s">
        <v>115</v>
      </c>
      <c r="Y5" s="24" t="s">
        <v>116</v>
      </c>
      <c r="Z5" s="24" t="s">
        <v>117</v>
      </c>
      <c r="AA5" s="24" t="s">
        <v>68</v>
      </c>
      <c r="AB5" s="24" t="s">
        <v>119</v>
      </c>
      <c r="AC5" s="24" t="s">
        <v>120</v>
      </c>
      <c r="AD5" s="24" t="s">
        <v>75</v>
      </c>
      <c r="AE5" s="24" t="s">
        <v>122</v>
      </c>
      <c r="AF5" s="24" t="s">
        <v>80</v>
      </c>
      <c r="AG5" s="22" t="s">
        <v>124</v>
      </c>
    </row>
    <row r="6" spans="1:35" x14ac:dyDescent="0.25">
      <c r="A6" s="8">
        <v>1</v>
      </c>
      <c r="B6" s="25" t="s">
        <v>18</v>
      </c>
      <c r="C6" s="9" t="s">
        <v>31</v>
      </c>
      <c r="D6" s="11" t="s">
        <v>32</v>
      </c>
      <c r="E6" s="11"/>
      <c r="F6" s="11"/>
      <c r="G6" s="25" t="s">
        <v>128</v>
      </c>
      <c r="H6" s="8" t="s">
        <v>129</v>
      </c>
      <c r="I6" s="8">
        <v>3</v>
      </c>
      <c r="J6" s="8">
        <v>3</v>
      </c>
      <c r="K6" s="8">
        <f t="shared" ref="K6:K49" si="0">J6-I6+1</f>
        <v>1</v>
      </c>
      <c r="L6" s="29">
        <f t="shared" ref="L6:L49" si="1">$B$3+(I6-1)*7</f>
        <v>46261</v>
      </c>
      <c r="M6" s="29">
        <f t="shared" ref="M6:M49" si="2">$B$3+(J6)*7-1</f>
        <v>46267</v>
      </c>
      <c r="N6" s="8" t="s">
        <v>144</v>
      </c>
      <c r="O6" s="33"/>
      <c r="P6" s="33"/>
      <c r="Q6" s="34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62"/>
    </row>
    <row r="7" spans="1:35" x14ac:dyDescent="0.25">
      <c r="A7" s="8">
        <v>2</v>
      </c>
      <c r="B7" s="25" t="s">
        <v>18</v>
      </c>
      <c r="C7" s="9" t="s">
        <v>35</v>
      </c>
      <c r="D7" s="11" t="s">
        <v>32</v>
      </c>
      <c r="E7" s="11"/>
      <c r="F7" s="11"/>
      <c r="G7" s="25" t="s">
        <v>145</v>
      </c>
      <c r="H7" s="8" t="s">
        <v>129</v>
      </c>
      <c r="I7" s="8">
        <v>1</v>
      </c>
      <c r="J7" s="8">
        <v>2</v>
      </c>
      <c r="K7" s="8">
        <f t="shared" si="0"/>
        <v>2</v>
      </c>
      <c r="L7" s="29">
        <f t="shared" si="1"/>
        <v>46247</v>
      </c>
      <c r="M7" s="29">
        <f t="shared" si="2"/>
        <v>46260</v>
      </c>
      <c r="N7" s="8" t="s">
        <v>144</v>
      </c>
      <c r="O7" s="34"/>
      <c r="P7" s="34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62"/>
    </row>
    <row r="8" spans="1:35" x14ac:dyDescent="0.25">
      <c r="A8" s="8">
        <v>3</v>
      </c>
      <c r="B8" s="25" t="s">
        <v>18</v>
      </c>
      <c r="C8" s="9" t="s">
        <v>37</v>
      </c>
      <c r="D8" s="11" t="s">
        <v>32</v>
      </c>
      <c r="E8" s="11"/>
      <c r="F8" s="11"/>
      <c r="G8" s="25" t="s">
        <v>128</v>
      </c>
      <c r="H8" s="8" t="s">
        <v>129</v>
      </c>
      <c r="I8" s="8">
        <v>1</v>
      </c>
      <c r="J8" s="8">
        <v>2</v>
      </c>
      <c r="K8" s="8">
        <f t="shared" si="0"/>
        <v>2</v>
      </c>
      <c r="L8" s="29">
        <f t="shared" si="1"/>
        <v>46247</v>
      </c>
      <c r="M8" s="29">
        <f t="shared" si="2"/>
        <v>46260</v>
      </c>
      <c r="N8" s="8" t="s">
        <v>144</v>
      </c>
      <c r="O8" s="34"/>
      <c r="P8" s="34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62"/>
    </row>
    <row r="9" spans="1:35" ht="25.5" x14ac:dyDescent="0.25">
      <c r="A9" s="8">
        <v>4</v>
      </c>
      <c r="B9" s="25" t="s">
        <v>18</v>
      </c>
      <c r="C9" s="9" t="s">
        <v>156</v>
      </c>
      <c r="D9" s="11" t="s">
        <v>32</v>
      </c>
      <c r="E9" s="11"/>
      <c r="F9" s="11"/>
      <c r="G9" s="25" t="s">
        <v>157</v>
      </c>
      <c r="H9" s="8" t="s">
        <v>129</v>
      </c>
      <c r="I9" s="8">
        <v>2</v>
      </c>
      <c r="J9" s="8">
        <v>3</v>
      </c>
      <c r="K9" s="8">
        <f t="shared" si="0"/>
        <v>2</v>
      </c>
      <c r="L9" s="29">
        <f t="shared" si="1"/>
        <v>46254</v>
      </c>
      <c r="M9" s="29">
        <f t="shared" si="2"/>
        <v>46267</v>
      </c>
      <c r="N9" s="8" t="s">
        <v>144</v>
      </c>
      <c r="O9" s="33"/>
      <c r="P9" s="34"/>
      <c r="Q9" s="34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62"/>
    </row>
    <row r="10" spans="1:35" x14ac:dyDescent="0.25">
      <c r="A10" s="8">
        <v>5</v>
      </c>
      <c r="B10" s="25" t="s">
        <v>18</v>
      </c>
      <c r="C10" s="9" t="s">
        <v>41</v>
      </c>
      <c r="D10" s="11" t="s">
        <v>32</v>
      </c>
      <c r="E10" s="11"/>
      <c r="F10" s="11"/>
      <c r="G10" s="25" t="s">
        <v>159</v>
      </c>
      <c r="H10" s="8" t="s">
        <v>129</v>
      </c>
      <c r="I10" s="8">
        <v>2</v>
      </c>
      <c r="J10" s="8">
        <v>3</v>
      </c>
      <c r="K10" s="8">
        <f t="shared" si="0"/>
        <v>2</v>
      </c>
      <c r="L10" s="29">
        <f t="shared" si="1"/>
        <v>46254</v>
      </c>
      <c r="M10" s="29">
        <f t="shared" si="2"/>
        <v>46267</v>
      </c>
      <c r="N10" s="8" t="s">
        <v>144</v>
      </c>
      <c r="O10" s="33"/>
      <c r="P10" s="34"/>
      <c r="Q10" s="34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62"/>
    </row>
    <row r="11" spans="1:35" x14ac:dyDescent="0.25">
      <c r="A11" s="8">
        <v>6</v>
      </c>
      <c r="B11" s="25" t="s">
        <v>18</v>
      </c>
      <c r="C11" s="9" t="s">
        <v>45</v>
      </c>
      <c r="D11" s="11" t="s">
        <v>32</v>
      </c>
      <c r="E11" s="11"/>
      <c r="F11" s="11"/>
      <c r="G11" s="25" t="s">
        <v>157</v>
      </c>
      <c r="H11" s="8" t="s">
        <v>129</v>
      </c>
      <c r="I11" s="8">
        <v>3</v>
      </c>
      <c r="J11" s="8">
        <v>3</v>
      </c>
      <c r="K11" s="8">
        <f t="shared" si="0"/>
        <v>1</v>
      </c>
      <c r="L11" s="29">
        <f t="shared" si="1"/>
        <v>46261</v>
      </c>
      <c r="M11" s="29">
        <f t="shared" si="2"/>
        <v>46267</v>
      </c>
      <c r="N11" s="8" t="s">
        <v>144</v>
      </c>
      <c r="O11" s="33"/>
      <c r="P11" s="33"/>
      <c r="Q11" s="34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62"/>
    </row>
    <row r="12" spans="1:35" ht="15.75" x14ac:dyDescent="0.25">
      <c r="A12" s="40">
        <v>7</v>
      </c>
      <c r="B12" s="42" t="s">
        <v>18</v>
      </c>
      <c r="C12" s="13" t="s">
        <v>169</v>
      </c>
      <c r="D12" s="40" t="s">
        <v>32</v>
      </c>
      <c r="E12" s="40"/>
      <c r="F12" s="40"/>
      <c r="G12" s="42" t="s">
        <v>128</v>
      </c>
      <c r="H12" s="40" t="s">
        <v>172</v>
      </c>
      <c r="I12" s="40">
        <v>3</v>
      </c>
      <c r="J12" s="40">
        <v>3</v>
      </c>
      <c r="K12" s="40">
        <f t="shared" si="0"/>
        <v>1</v>
      </c>
      <c r="L12" s="43">
        <f t="shared" si="1"/>
        <v>46261</v>
      </c>
      <c r="M12" s="43">
        <f t="shared" si="2"/>
        <v>46267</v>
      </c>
      <c r="N12" s="40" t="s">
        <v>144</v>
      </c>
      <c r="O12" s="33"/>
      <c r="P12" s="33"/>
      <c r="Q12" s="44" t="s">
        <v>176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62"/>
    </row>
    <row r="13" spans="1:35" x14ac:dyDescent="0.25">
      <c r="A13" s="8">
        <v>8</v>
      </c>
      <c r="B13" s="25" t="s">
        <v>18</v>
      </c>
      <c r="C13" s="9" t="s">
        <v>177</v>
      </c>
      <c r="D13" s="11" t="s">
        <v>32</v>
      </c>
      <c r="E13" s="11"/>
      <c r="F13" s="11"/>
      <c r="G13" s="25" t="s">
        <v>128</v>
      </c>
      <c r="H13" s="8" t="s">
        <v>129</v>
      </c>
      <c r="I13" s="8">
        <v>3</v>
      </c>
      <c r="J13" s="8">
        <v>4</v>
      </c>
      <c r="K13" s="8">
        <f t="shared" si="0"/>
        <v>2</v>
      </c>
      <c r="L13" s="29">
        <f t="shared" si="1"/>
        <v>46261</v>
      </c>
      <c r="M13" s="29">
        <f t="shared" si="2"/>
        <v>46274</v>
      </c>
      <c r="N13" s="8" t="s">
        <v>144</v>
      </c>
      <c r="O13" s="33"/>
      <c r="P13" s="33"/>
      <c r="Q13" s="34"/>
      <c r="R13" s="34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62"/>
    </row>
    <row r="14" spans="1:35" x14ac:dyDescent="0.25">
      <c r="A14" s="8">
        <v>9</v>
      </c>
      <c r="B14" s="25" t="s">
        <v>18</v>
      </c>
      <c r="C14" s="9" t="s">
        <v>178</v>
      </c>
      <c r="D14" s="11" t="s">
        <v>32</v>
      </c>
      <c r="E14" s="11"/>
      <c r="F14" s="11"/>
      <c r="G14" s="25" t="s">
        <v>128</v>
      </c>
      <c r="H14" s="8" t="s">
        <v>129</v>
      </c>
      <c r="I14" s="8">
        <v>4</v>
      </c>
      <c r="J14" s="8">
        <v>4</v>
      </c>
      <c r="K14" s="8">
        <f t="shared" si="0"/>
        <v>1</v>
      </c>
      <c r="L14" s="29">
        <f t="shared" si="1"/>
        <v>46268</v>
      </c>
      <c r="M14" s="29">
        <f t="shared" si="2"/>
        <v>46274</v>
      </c>
      <c r="N14" s="8" t="s">
        <v>144</v>
      </c>
      <c r="O14" s="33"/>
      <c r="P14" s="33"/>
      <c r="Q14" s="33"/>
      <c r="R14" s="34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62"/>
    </row>
    <row r="15" spans="1:35" ht="15.75" x14ac:dyDescent="0.25">
      <c r="A15" s="40">
        <v>10</v>
      </c>
      <c r="B15" s="42" t="s">
        <v>18</v>
      </c>
      <c r="C15" s="13" t="s">
        <v>179</v>
      </c>
      <c r="D15" s="40" t="s">
        <v>32</v>
      </c>
      <c r="E15" s="40"/>
      <c r="F15" s="40"/>
      <c r="G15" s="42" t="s">
        <v>128</v>
      </c>
      <c r="H15" s="40" t="s">
        <v>172</v>
      </c>
      <c r="I15" s="40">
        <v>4</v>
      </c>
      <c r="J15" s="40">
        <v>4</v>
      </c>
      <c r="K15" s="40">
        <f t="shared" si="0"/>
        <v>1</v>
      </c>
      <c r="L15" s="43">
        <f t="shared" si="1"/>
        <v>46268</v>
      </c>
      <c r="M15" s="43">
        <f t="shared" si="2"/>
        <v>46274</v>
      </c>
      <c r="N15" s="40" t="s">
        <v>144</v>
      </c>
      <c r="O15" s="33"/>
      <c r="P15" s="33"/>
      <c r="Q15" s="33"/>
      <c r="R15" s="44" t="s">
        <v>176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62"/>
    </row>
    <row r="16" spans="1:35" ht="24" x14ac:dyDescent="0.25">
      <c r="A16" s="19">
        <v>11</v>
      </c>
      <c r="B16" s="45" t="s">
        <v>48</v>
      </c>
      <c r="C16" s="20" t="s">
        <v>77</v>
      </c>
      <c r="D16" s="21"/>
      <c r="E16" s="21" t="s">
        <v>32</v>
      </c>
      <c r="F16" s="21"/>
      <c r="G16" s="45" t="s">
        <v>128</v>
      </c>
      <c r="H16" s="19" t="s">
        <v>129</v>
      </c>
      <c r="I16" s="19">
        <v>4</v>
      </c>
      <c r="J16" s="19">
        <v>5</v>
      </c>
      <c r="K16" s="19">
        <f t="shared" si="0"/>
        <v>2</v>
      </c>
      <c r="L16" s="46">
        <f t="shared" si="1"/>
        <v>46268</v>
      </c>
      <c r="M16" s="46">
        <f t="shared" si="2"/>
        <v>46281</v>
      </c>
      <c r="N16" s="19" t="s">
        <v>180</v>
      </c>
      <c r="O16" s="33"/>
      <c r="P16" s="33"/>
      <c r="Q16" s="33"/>
      <c r="R16" s="47"/>
      <c r="S16" s="47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48" t="s">
        <v>181</v>
      </c>
    </row>
    <row r="17" spans="1:33" ht="24" x14ac:dyDescent="0.25">
      <c r="A17" s="19">
        <v>12</v>
      </c>
      <c r="B17" s="45" t="s">
        <v>48</v>
      </c>
      <c r="C17" s="20" t="s">
        <v>84</v>
      </c>
      <c r="D17" s="21"/>
      <c r="E17" s="21" t="s">
        <v>32</v>
      </c>
      <c r="F17" s="21"/>
      <c r="G17" s="45" t="s">
        <v>182</v>
      </c>
      <c r="H17" s="19" t="s">
        <v>129</v>
      </c>
      <c r="I17" s="19">
        <v>4</v>
      </c>
      <c r="J17" s="19">
        <v>5</v>
      </c>
      <c r="K17" s="19">
        <f t="shared" si="0"/>
        <v>2</v>
      </c>
      <c r="L17" s="46">
        <f t="shared" si="1"/>
        <v>46268</v>
      </c>
      <c r="M17" s="46">
        <f t="shared" si="2"/>
        <v>46281</v>
      </c>
      <c r="N17" s="19" t="s">
        <v>180</v>
      </c>
      <c r="O17" s="33"/>
      <c r="P17" s="33"/>
      <c r="Q17" s="33"/>
      <c r="R17" s="47"/>
      <c r="S17" s="47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48" t="s">
        <v>183</v>
      </c>
    </row>
    <row r="18" spans="1:33" ht="24" x14ac:dyDescent="0.25">
      <c r="A18" s="19">
        <v>13</v>
      </c>
      <c r="B18" s="45" t="s">
        <v>48</v>
      </c>
      <c r="C18" s="20" t="s">
        <v>87</v>
      </c>
      <c r="D18" s="21"/>
      <c r="E18" s="21" t="s">
        <v>32</v>
      </c>
      <c r="F18" s="21"/>
      <c r="G18" s="45" t="s">
        <v>159</v>
      </c>
      <c r="H18" s="19" t="s">
        <v>129</v>
      </c>
      <c r="I18" s="19">
        <v>5</v>
      </c>
      <c r="J18" s="19">
        <v>6</v>
      </c>
      <c r="K18" s="19">
        <f t="shared" si="0"/>
        <v>2</v>
      </c>
      <c r="L18" s="46">
        <f t="shared" si="1"/>
        <v>46275</v>
      </c>
      <c r="M18" s="46">
        <f t="shared" si="2"/>
        <v>46288</v>
      </c>
      <c r="N18" s="19" t="s">
        <v>180</v>
      </c>
      <c r="O18" s="33"/>
      <c r="P18" s="33"/>
      <c r="Q18" s="33"/>
      <c r="R18" s="33"/>
      <c r="S18" s="47"/>
      <c r="T18" s="47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48" t="s">
        <v>184</v>
      </c>
    </row>
    <row r="19" spans="1:33" ht="24" x14ac:dyDescent="0.25">
      <c r="A19" s="19">
        <v>14</v>
      </c>
      <c r="B19" s="45" t="s">
        <v>48</v>
      </c>
      <c r="C19" s="20" t="s">
        <v>89</v>
      </c>
      <c r="D19" s="21"/>
      <c r="E19" s="21" t="s">
        <v>32</v>
      </c>
      <c r="F19" s="21"/>
      <c r="G19" s="45" t="s">
        <v>182</v>
      </c>
      <c r="H19" s="19" t="s">
        <v>129</v>
      </c>
      <c r="I19" s="19">
        <v>5</v>
      </c>
      <c r="J19" s="19">
        <v>6</v>
      </c>
      <c r="K19" s="19">
        <f t="shared" si="0"/>
        <v>2</v>
      </c>
      <c r="L19" s="46">
        <f t="shared" si="1"/>
        <v>46275</v>
      </c>
      <c r="M19" s="46">
        <f t="shared" si="2"/>
        <v>46288</v>
      </c>
      <c r="N19" s="19" t="s">
        <v>180</v>
      </c>
      <c r="O19" s="33"/>
      <c r="P19" s="33"/>
      <c r="Q19" s="33"/>
      <c r="R19" s="33"/>
      <c r="S19" s="47"/>
      <c r="T19" s="47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48" t="s">
        <v>185</v>
      </c>
    </row>
    <row r="20" spans="1:33" ht="24" x14ac:dyDescent="0.25">
      <c r="A20" s="19">
        <v>15</v>
      </c>
      <c r="B20" s="45" t="s">
        <v>48</v>
      </c>
      <c r="C20" s="20" t="s">
        <v>186</v>
      </c>
      <c r="D20" s="21"/>
      <c r="E20" s="21" t="s">
        <v>32</v>
      </c>
      <c r="F20" s="21"/>
      <c r="G20" s="45" t="s">
        <v>157</v>
      </c>
      <c r="H20" s="19" t="s">
        <v>129</v>
      </c>
      <c r="I20" s="19">
        <v>6</v>
      </c>
      <c r="J20" s="19">
        <v>6</v>
      </c>
      <c r="K20" s="19">
        <f t="shared" si="0"/>
        <v>1</v>
      </c>
      <c r="L20" s="46">
        <f t="shared" si="1"/>
        <v>46282</v>
      </c>
      <c r="M20" s="46">
        <f t="shared" si="2"/>
        <v>46288</v>
      </c>
      <c r="N20" s="19" t="s">
        <v>187</v>
      </c>
      <c r="O20" s="33"/>
      <c r="P20" s="33"/>
      <c r="Q20" s="33"/>
      <c r="R20" s="33"/>
      <c r="S20" s="33"/>
      <c r="T20" s="47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48" t="s">
        <v>188</v>
      </c>
    </row>
    <row r="21" spans="1:33" ht="24" x14ac:dyDescent="0.25">
      <c r="A21" s="40">
        <v>16</v>
      </c>
      <c r="B21" s="42" t="s">
        <v>48</v>
      </c>
      <c r="C21" s="13" t="s">
        <v>47</v>
      </c>
      <c r="D21" s="40"/>
      <c r="E21" s="40" t="s">
        <v>32</v>
      </c>
      <c r="F21" s="40"/>
      <c r="G21" s="42" t="s">
        <v>128</v>
      </c>
      <c r="H21" s="40" t="s">
        <v>172</v>
      </c>
      <c r="I21" s="40">
        <v>6</v>
      </c>
      <c r="J21" s="40">
        <v>6</v>
      </c>
      <c r="K21" s="40">
        <f t="shared" si="0"/>
        <v>1</v>
      </c>
      <c r="L21" s="43">
        <f t="shared" si="1"/>
        <v>46282</v>
      </c>
      <c r="M21" s="43">
        <f t="shared" si="2"/>
        <v>46288</v>
      </c>
      <c r="N21" s="40" t="s">
        <v>180</v>
      </c>
      <c r="O21" s="33"/>
      <c r="P21" s="33"/>
      <c r="Q21" s="33"/>
      <c r="R21" s="33"/>
      <c r="S21" s="33"/>
      <c r="T21" s="44" t="s">
        <v>176</v>
      </c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48" t="s">
        <v>189</v>
      </c>
    </row>
    <row r="22" spans="1:33" x14ac:dyDescent="0.25">
      <c r="A22" s="2">
        <v>17</v>
      </c>
      <c r="B22" s="4" t="s">
        <v>55</v>
      </c>
      <c r="C22" s="23" t="s">
        <v>99</v>
      </c>
      <c r="D22" s="15"/>
      <c r="E22" s="15" t="s">
        <v>32</v>
      </c>
      <c r="F22" s="15"/>
      <c r="G22" s="4" t="s">
        <v>157</v>
      </c>
      <c r="H22" s="2" t="s">
        <v>129</v>
      </c>
      <c r="I22" s="2">
        <v>7</v>
      </c>
      <c r="J22" s="2">
        <v>7</v>
      </c>
      <c r="K22" s="2">
        <f t="shared" si="0"/>
        <v>1</v>
      </c>
      <c r="L22" s="49">
        <f t="shared" si="1"/>
        <v>46289</v>
      </c>
      <c r="M22" s="49">
        <f t="shared" si="2"/>
        <v>46295</v>
      </c>
      <c r="N22" s="2" t="s">
        <v>144</v>
      </c>
      <c r="O22" s="33"/>
      <c r="P22" s="33"/>
      <c r="Q22" s="33"/>
      <c r="R22" s="33"/>
      <c r="S22" s="33"/>
      <c r="T22" s="33"/>
      <c r="U22" s="47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62"/>
    </row>
    <row r="23" spans="1:33" ht="36" x14ac:dyDescent="0.25">
      <c r="A23" s="2">
        <v>18</v>
      </c>
      <c r="B23" s="4" t="s">
        <v>55</v>
      </c>
      <c r="C23" s="23" t="s">
        <v>107</v>
      </c>
      <c r="D23" s="15"/>
      <c r="E23" s="15" t="s">
        <v>32</v>
      </c>
      <c r="F23" s="15"/>
      <c r="G23" s="4" t="s">
        <v>159</v>
      </c>
      <c r="H23" s="2" t="s">
        <v>129</v>
      </c>
      <c r="I23" s="2">
        <v>7</v>
      </c>
      <c r="J23" s="2">
        <v>8</v>
      </c>
      <c r="K23" s="2">
        <f t="shared" si="0"/>
        <v>2</v>
      </c>
      <c r="L23" s="49">
        <f t="shared" si="1"/>
        <v>46289</v>
      </c>
      <c r="M23" s="49">
        <f t="shared" si="2"/>
        <v>46302</v>
      </c>
      <c r="N23" s="2" t="s">
        <v>144</v>
      </c>
      <c r="O23" s="33"/>
      <c r="P23" s="33"/>
      <c r="Q23" s="33"/>
      <c r="R23" s="33"/>
      <c r="S23" s="33"/>
      <c r="T23" s="33"/>
      <c r="U23" s="50"/>
      <c r="V23" s="50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48" t="s">
        <v>191</v>
      </c>
    </row>
    <row r="24" spans="1:33" ht="24" x14ac:dyDescent="0.25">
      <c r="A24" s="2">
        <v>19</v>
      </c>
      <c r="B24" s="4" t="s">
        <v>55</v>
      </c>
      <c r="C24" s="23" t="s">
        <v>109</v>
      </c>
      <c r="D24" s="15"/>
      <c r="E24" s="15" t="s">
        <v>32</v>
      </c>
      <c r="F24" s="15"/>
      <c r="G24" s="4" t="s">
        <v>182</v>
      </c>
      <c r="H24" s="2" t="s">
        <v>129</v>
      </c>
      <c r="I24" s="2">
        <v>7</v>
      </c>
      <c r="J24" s="2">
        <v>8</v>
      </c>
      <c r="K24" s="2">
        <f t="shared" si="0"/>
        <v>2</v>
      </c>
      <c r="L24" s="49">
        <f t="shared" si="1"/>
        <v>46289</v>
      </c>
      <c r="M24" s="49">
        <f t="shared" si="2"/>
        <v>46302</v>
      </c>
      <c r="N24" s="2" t="s">
        <v>180</v>
      </c>
      <c r="O24" s="33"/>
      <c r="P24" s="33"/>
      <c r="Q24" s="33"/>
      <c r="R24" s="33"/>
      <c r="S24" s="33"/>
      <c r="T24" s="33"/>
      <c r="U24" s="47"/>
      <c r="V24" s="47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48" t="s">
        <v>192</v>
      </c>
    </row>
    <row r="25" spans="1:33" ht="24" x14ac:dyDescent="0.25">
      <c r="A25" s="2">
        <v>20</v>
      </c>
      <c r="B25" s="4" t="s">
        <v>55</v>
      </c>
      <c r="C25" s="23" t="s">
        <v>114</v>
      </c>
      <c r="D25" s="15"/>
      <c r="E25" s="15" t="s">
        <v>32</v>
      </c>
      <c r="F25" s="15"/>
      <c r="G25" s="4" t="s">
        <v>182</v>
      </c>
      <c r="H25" s="2" t="s">
        <v>129</v>
      </c>
      <c r="I25" s="2">
        <v>8</v>
      </c>
      <c r="J25" s="2">
        <v>9</v>
      </c>
      <c r="K25" s="2">
        <f t="shared" si="0"/>
        <v>2</v>
      </c>
      <c r="L25" s="49">
        <f t="shared" si="1"/>
        <v>46296</v>
      </c>
      <c r="M25" s="49">
        <f t="shared" si="2"/>
        <v>46309</v>
      </c>
      <c r="N25" s="2" t="s">
        <v>144</v>
      </c>
      <c r="O25" s="33"/>
      <c r="P25" s="33"/>
      <c r="Q25" s="33"/>
      <c r="R25" s="33"/>
      <c r="S25" s="33"/>
      <c r="T25" s="33"/>
      <c r="U25" s="33"/>
      <c r="V25" s="50"/>
      <c r="W25" s="50"/>
      <c r="X25" s="33"/>
      <c r="Y25" s="33"/>
      <c r="Z25" s="33"/>
      <c r="AA25" s="33"/>
      <c r="AB25" s="33"/>
      <c r="AC25" s="33"/>
      <c r="AD25" s="33"/>
      <c r="AE25" s="33"/>
      <c r="AF25" s="33"/>
      <c r="AG25" s="48" t="s">
        <v>193</v>
      </c>
    </row>
    <row r="26" spans="1:33" x14ac:dyDescent="0.25">
      <c r="A26" s="2">
        <v>21</v>
      </c>
      <c r="B26" s="4" t="s">
        <v>55</v>
      </c>
      <c r="C26" s="23" t="s">
        <v>121</v>
      </c>
      <c r="D26" s="15"/>
      <c r="E26" s="15" t="s">
        <v>32</v>
      </c>
      <c r="F26" s="15"/>
      <c r="G26" s="4" t="s">
        <v>157</v>
      </c>
      <c r="H26" s="2" t="s">
        <v>129</v>
      </c>
      <c r="I26" s="2">
        <v>8</v>
      </c>
      <c r="J26" s="2">
        <v>9</v>
      </c>
      <c r="K26" s="2">
        <f t="shared" si="0"/>
        <v>2</v>
      </c>
      <c r="L26" s="49">
        <f t="shared" si="1"/>
        <v>46296</v>
      </c>
      <c r="M26" s="49">
        <f t="shared" si="2"/>
        <v>46309</v>
      </c>
      <c r="N26" s="2" t="s">
        <v>144</v>
      </c>
      <c r="O26" s="33"/>
      <c r="P26" s="33"/>
      <c r="Q26" s="33"/>
      <c r="R26" s="33"/>
      <c r="S26" s="33"/>
      <c r="T26" s="33"/>
      <c r="U26" s="33"/>
      <c r="V26" s="47"/>
      <c r="W26" s="47"/>
      <c r="X26" s="33"/>
      <c r="Y26" s="33"/>
      <c r="Z26" s="33"/>
      <c r="AA26" s="33"/>
      <c r="AB26" s="33"/>
      <c r="AC26" s="33"/>
      <c r="AD26" s="33"/>
      <c r="AE26" s="33"/>
      <c r="AF26" s="33"/>
      <c r="AG26" s="62"/>
    </row>
    <row r="27" spans="1:33" x14ac:dyDescent="0.25">
      <c r="A27" s="2">
        <v>22</v>
      </c>
      <c r="B27" s="4" t="s">
        <v>55</v>
      </c>
      <c r="C27" s="23" t="s">
        <v>125</v>
      </c>
      <c r="D27" s="15"/>
      <c r="E27" s="15" t="s">
        <v>32</v>
      </c>
      <c r="F27" s="15"/>
      <c r="G27" s="4" t="s">
        <v>128</v>
      </c>
      <c r="H27" s="2" t="s">
        <v>129</v>
      </c>
      <c r="I27" s="2">
        <v>9</v>
      </c>
      <c r="J27" s="2">
        <v>9</v>
      </c>
      <c r="K27" s="2">
        <f t="shared" si="0"/>
        <v>1</v>
      </c>
      <c r="L27" s="49">
        <f t="shared" si="1"/>
        <v>46303</v>
      </c>
      <c r="M27" s="49">
        <f t="shared" si="2"/>
        <v>46309</v>
      </c>
      <c r="N27" s="2" t="s">
        <v>180</v>
      </c>
      <c r="O27" s="33"/>
      <c r="P27" s="33"/>
      <c r="Q27" s="33"/>
      <c r="R27" s="33"/>
      <c r="S27" s="33"/>
      <c r="T27" s="33"/>
      <c r="U27" s="33"/>
      <c r="V27" s="33"/>
      <c r="W27" s="47"/>
      <c r="X27" s="33"/>
      <c r="Y27" s="33"/>
      <c r="Z27" s="33"/>
      <c r="AA27" s="33"/>
      <c r="AB27" s="33"/>
      <c r="AC27" s="33"/>
      <c r="AD27" s="33"/>
      <c r="AE27" s="33"/>
      <c r="AF27" s="33"/>
      <c r="AG27" s="48" t="s">
        <v>194</v>
      </c>
    </row>
    <row r="28" spans="1:33" ht="24" x14ac:dyDescent="0.25">
      <c r="A28" s="40">
        <v>23</v>
      </c>
      <c r="B28" s="42" t="s">
        <v>55</v>
      </c>
      <c r="C28" s="13" t="s">
        <v>53</v>
      </c>
      <c r="D28" s="40"/>
      <c r="E28" s="40" t="s">
        <v>32</v>
      </c>
      <c r="F28" s="40"/>
      <c r="G28" s="42" t="s">
        <v>128</v>
      </c>
      <c r="H28" s="40" t="s">
        <v>172</v>
      </c>
      <c r="I28" s="40">
        <v>9</v>
      </c>
      <c r="J28" s="40">
        <v>9</v>
      </c>
      <c r="K28" s="40">
        <f t="shared" si="0"/>
        <v>1</v>
      </c>
      <c r="L28" s="43">
        <f t="shared" si="1"/>
        <v>46303</v>
      </c>
      <c r="M28" s="43">
        <f t="shared" si="2"/>
        <v>46309</v>
      </c>
      <c r="N28" s="40" t="s">
        <v>180</v>
      </c>
      <c r="O28" s="33"/>
      <c r="P28" s="33"/>
      <c r="Q28" s="33"/>
      <c r="R28" s="33"/>
      <c r="S28" s="33"/>
      <c r="T28" s="33"/>
      <c r="U28" s="33"/>
      <c r="V28" s="33"/>
      <c r="W28" s="44" t="s">
        <v>176</v>
      </c>
      <c r="X28" s="33"/>
      <c r="Y28" s="33"/>
      <c r="Z28" s="33"/>
      <c r="AA28" s="33"/>
      <c r="AB28" s="33"/>
      <c r="AC28" s="33"/>
      <c r="AD28" s="33"/>
      <c r="AE28" s="33"/>
      <c r="AF28" s="33"/>
      <c r="AG28" s="48" t="s">
        <v>196</v>
      </c>
    </row>
    <row r="29" spans="1:33" x14ac:dyDescent="0.25">
      <c r="A29" s="26">
        <v>24</v>
      </c>
      <c r="B29" s="51" t="s">
        <v>66</v>
      </c>
      <c r="C29" s="27" t="s">
        <v>130</v>
      </c>
      <c r="D29" s="28"/>
      <c r="E29" s="28" t="s">
        <v>32</v>
      </c>
      <c r="F29" s="28"/>
      <c r="G29" s="51" t="s">
        <v>182</v>
      </c>
      <c r="H29" s="26" t="s">
        <v>129</v>
      </c>
      <c r="I29" s="26">
        <v>10</v>
      </c>
      <c r="J29" s="26">
        <v>10</v>
      </c>
      <c r="K29" s="26">
        <f t="shared" si="0"/>
        <v>1</v>
      </c>
      <c r="L29" s="52">
        <f t="shared" si="1"/>
        <v>46310</v>
      </c>
      <c r="M29" s="52">
        <f t="shared" si="2"/>
        <v>46316</v>
      </c>
      <c r="N29" s="26" t="s">
        <v>144</v>
      </c>
      <c r="O29" s="33"/>
      <c r="P29" s="33"/>
      <c r="Q29" s="33"/>
      <c r="R29" s="33"/>
      <c r="S29" s="33"/>
      <c r="T29" s="33"/>
      <c r="U29" s="33"/>
      <c r="V29" s="33"/>
      <c r="W29" s="33"/>
      <c r="X29" s="34"/>
      <c r="Y29" s="33"/>
      <c r="Z29" s="33"/>
      <c r="AA29" s="33"/>
      <c r="AB29" s="33"/>
      <c r="AC29" s="33"/>
      <c r="AD29" s="33"/>
      <c r="AE29" s="33"/>
      <c r="AF29" s="33"/>
      <c r="AG29" s="48" t="s">
        <v>197</v>
      </c>
    </row>
    <row r="30" spans="1:33" ht="24" x14ac:dyDescent="0.25">
      <c r="A30" s="26">
        <v>25</v>
      </c>
      <c r="B30" s="51" t="s">
        <v>66</v>
      </c>
      <c r="C30" s="27" t="s">
        <v>132</v>
      </c>
      <c r="D30" s="28"/>
      <c r="E30" s="28" t="s">
        <v>32</v>
      </c>
      <c r="F30" s="28"/>
      <c r="G30" s="51" t="s">
        <v>182</v>
      </c>
      <c r="H30" s="26" t="s">
        <v>129</v>
      </c>
      <c r="I30" s="26">
        <v>10</v>
      </c>
      <c r="J30" s="26">
        <v>11</v>
      </c>
      <c r="K30" s="26">
        <f t="shared" si="0"/>
        <v>2</v>
      </c>
      <c r="L30" s="52">
        <f t="shared" si="1"/>
        <v>46310</v>
      </c>
      <c r="M30" s="52">
        <f t="shared" si="2"/>
        <v>46323</v>
      </c>
      <c r="N30" s="26" t="s">
        <v>180</v>
      </c>
      <c r="O30" s="33"/>
      <c r="P30" s="33"/>
      <c r="Q30" s="33"/>
      <c r="R30" s="33"/>
      <c r="S30" s="33"/>
      <c r="T30" s="33"/>
      <c r="U30" s="33"/>
      <c r="V30" s="33"/>
      <c r="W30" s="33"/>
      <c r="X30" s="50"/>
      <c r="Y30" s="50"/>
      <c r="Z30" s="33"/>
      <c r="AA30" s="33"/>
      <c r="AB30" s="33"/>
      <c r="AC30" s="33"/>
      <c r="AD30" s="33"/>
      <c r="AE30" s="33"/>
      <c r="AF30" s="33"/>
      <c r="AG30" s="48" t="s">
        <v>198</v>
      </c>
    </row>
    <row r="31" spans="1:33" ht="24" x14ac:dyDescent="0.25">
      <c r="A31" s="26">
        <v>26</v>
      </c>
      <c r="B31" s="51" t="s">
        <v>66</v>
      </c>
      <c r="C31" s="27" t="s">
        <v>134</v>
      </c>
      <c r="D31" s="28"/>
      <c r="E31" s="28" t="s">
        <v>32</v>
      </c>
      <c r="F31" s="28"/>
      <c r="G31" s="51" t="s">
        <v>159</v>
      </c>
      <c r="H31" s="26" t="s">
        <v>129</v>
      </c>
      <c r="I31" s="26">
        <v>11</v>
      </c>
      <c r="J31" s="26">
        <v>12</v>
      </c>
      <c r="K31" s="26">
        <f t="shared" si="0"/>
        <v>2</v>
      </c>
      <c r="L31" s="52">
        <f t="shared" si="1"/>
        <v>46317</v>
      </c>
      <c r="M31" s="52">
        <f t="shared" si="2"/>
        <v>46330</v>
      </c>
      <c r="N31" s="26" t="s">
        <v>180</v>
      </c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50"/>
      <c r="Z31" s="50"/>
      <c r="AA31" s="33"/>
      <c r="AB31" s="33"/>
      <c r="AC31" s="33"/>
      <c r="AD31" s="33"/>
      <c r="AE31" s="33"/>
      <c r="AF31" s="33"/>
      <c r="AG31" s="48" t="s">
        <v>199</v>
      </c>
    </row>
    <row r="32" spans="1:33" ht="24" x14ac:dyDescent="0.25">
      <c r="A32" s="26">
        <v>27</v>
      </c>
      <c r="B32" s="51" t="s">
        <v>66</v>
      </c>
      <c r="C32" s="27" t="s">
        <v>200</v>
      </c>
      <c r="D32" s="28"/>
      <c r="E32" s="28" t="s">
        <v>32</v>
      </c>
      <c r="F32" s="28"/>
      <c r="G32" s="51" t="s">
        <v>182</v>
      </c>
      <c r="H32" s="26" t="s">
        <v>129</v>
      </c>
      <c r="I32" s="26">
        <v>12</v>
      </c>
      <c r="J32" s="26">
        <v>12</v>
      </c>
      <c r="K32" s="26">
        <f t="shared" si="0"/>
        <v>1</v>
      </c>
      <c r="L32" s="52">
        <f t="shared" si="1"/>
        <v>46324</v>
      </c>
      <c r="M32" s="52">
        <f t="shared" si="2"/>
        <v>46330</v>
      </c>
      <c r="N32" s="26" t="s">
        <v>180</v>
      </c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50"/>
      <c r="AA32" s="33"/>
      <c r="AB32" s="33"/>
      <c r="AC32" s="33"/>
      <c r="AD32" s="33"/>
      <c r="AE32" s="33"/>
      <c r="AF32" s="33"/>
      <c r="AG32" s="48" t="s">
        <v>201</v>
      </c>
    </row>
    <row r="33" spans="1:33" x14ac:dyDescent="0.25">
      <c r="A33" s="26">
        <v>28</v>
      </c>
      <c r="B33" s="51" t="s">
        <v>66</v>
      </c>
      <c r="C33" s="27" t="s">
        <v>202</v>
      </c>
      <c r="D33" s="28"/>
      <c r="E33" s="28" t="s">
        <v>32</v>
      </c>
      <c r="F33" s="28"/>
      <c r="G33" s="51" t="s">
        <v>159</v>
      </c>
      <c r="H33" s="26" t="s">
        <v>129</v>
      </c>
      <c r="I33" s="26">
        <v>12</v>
      </c>
      <c r="J33" s="26">
        <v>13</v>
      </c>
      <c r="K33" s="26">
        <f t="shared" si="0"/>
        <v>2</v>
      </c>
      <c r="L33" s="52">
        <f t="shared" si="1"/>
        <v>46324</v>
      </c>
      <c r="M33" s="52">
        <f t="shared" si="2"/>
        <v>46337</v>
      </c>
      <c r="N33" s="26" t="s">
        <v>187</v>
      </c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47"/>
      <c r="AA33" s="47"/>
      <c r="AB33" s="33"/>
      <c r="AC33" s="33"/>
      <c r="AD33" s="33"/>
      <c r="AE33" s="33"/>
      <c r="AF33" s="33"/>
      <c r="AG33" s="48" t="s">
        <v>203</v>
      </c>
    </row>
    <row r="34" spans="1:33" ht="24" x14ac:dyDescent="0.25">
      <c r="A34" s="26">
        <v>29</v>
      </c>
      <c r="B34" s="51" t="s">
        <v>66</v>
      </c>
      <c r="C34" s="27" t="s">
        <v>204</v>
      </c>
      <c r="D34" s="28"/>
      <c r="E34" s="28" t="s">
        <v>32</v>
      </c>
      <c r="F34" s="28"/>
      <c r="G34" s="51" t="s">
        <v>128</v>
      </c>
      <c r="H34" s="26" t="s">
        <v>129</v>
      </c>
      <c r="I34" s="26">
        <v>13</v>
      </c>
      <c r="J34" s="26">
        <v>13</v>
      </c>
      <c r="K34" s="26">
        <f t="shared" si="0"/>
        <v>1</v>
      </c>
      <c r="L34" s="52">
        <f t="shared" si="1"/>
        <v>46331</v>
      </c>
      <c r="M34" s="52">
        <f t="shared" si="2"/>
        <v>46337</v>
      </c>
      <c r="N34" s="26" t="s">
        <v>180</v>
      </c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50"/>
      <c r="AB34" s="33"/>
      <c r="AC34" s="33"/>
      <c r="AD34" s="33"/>
      <c r="AE34" s="33"/>
      <c r="AF34" s="33"/>
      <c r="AG34" s="48" t="s">
        <v>205</v>
      </c>
    </row>
    <row r="35" spans="1:33" ht="24" x14ac:dyDescent="0.25">
      <c r="A35" s="40">
        <v>30</v>
      </c>
      <c r="B35" s="42" t="s">
        <v>66</v>
      </c>
      <c r="C35" s="13" t="s">
        <v>65</v>
      </c>
      <c r="D35" s="40"/>
      <c r="E35" s="40" t="s">
        <v>32</v>
      </c>
      <c r="F35" s="40"/>
      <c r="G35" s="42" t="s">
        <v>128</v>
      </c>
      <c r="H35" s="40" t="s">
        <v>172</v>
      </c>
      <c r="I35" s="40">
        <v>13</v>
      </c>
      <c r="J35" s="40">
        <v>13</v>
      </c>
      <c r="K35" s="40">
        <f t="shared" si="0"/>
        <v>1</v>
      </c>
      <c r="L35" s="43">
        <f t="shared" si="1"/>
        <v>46331</v>
      </c>
      <c r="M35" s="43">
        <f t="shared" si="2"/>
        <v>46337</v>
      </c>
      <c r="N35" s="40" t="s">
        <v>187</v>
      </c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44" t="s">
        <v>176</v>
      </c>
      <c r="AB35" s="33"/>
      <c r="AC35" s="33"/>
      <c r="AD35" s="33"/>
      <c r="AE35" s="33"/>
      <c r="AF35" s="33"/>
      <c r="AG35" s="48" t="s">
        <v>206</v>
      </c>
    </row>
    <row r="36" spans="1:33" x14ac:dyDescent="0.25">
      <c r="A36" s="30">
        <v>31</v>
      </c>
      <c r="B36" s="53" t="s">
        <v>74</v>
      </c>
      <c r="C36" s="31" t="s">
        <v>143</v>
      </c>
      <c r="D36" s="32"/>
      <c r="E36" s="32" t="s">
        <v>32</v>
      </c>
      <c r="F36" s="32"/>
      <c r="G36" s="53" t="s">
        <v>128</v>
      </c>
      <c r="H36" s="30" t="s">
        <v>129</v>
      </c>
      <c r="I36" s="30">
        <v>14</v>
      </c>
      <c r="J36" s="30">
        <v>14</v>
      </c>
      <c r="K36" s="30">
        <f t="shared" si="0"/>
        <v>1</v>
      </c>
      <c r="L36" s="54">
        <f t="shared" si="1"/>
        <v>46338</v>
      </c>
      <c r="M36" s="54">
        <f t="shared" si="2"/>
        <v>46344</v>
      </c>
      <c r="N36" s="30" t="s">
        <v>187</v>
      </c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47"/>
      <c r="AC36" s="33"/>
      <c r="AD36" s="33"/>
      <c r="AE36" s="33"/>
      <c r="AF36" s="33"/>
      <c r="AG36" s="62"/>
    </row>
    <row r="37" spans="1:33" x14ac:dyDescent="0.25">
      <c r="A37" s="30">
        <v>32</v>
      </c>
      <c r="B37" s="53" t="s">
        <v>74</v>
      </c>
      <c r="C37" s="31" t="s">
        <v>147</v>
      </c>
      <c r="D37" s="32"/>
      <c r="E37" s="32" t="s">
        <v>32</v>
      </c>
      <c r="F37" s="32"/>
      <c r="G37" s="53" t="s">
        <v>128</v>
      </c>
      <c r="H37" s="30" t="s">
        <v>129</v>
      </c>
      <c r="I37" s="30">
        <v>14</v>
      </c>
      <c r="J37" s="30">
        <v>15</v>
      </c>
      <c r="K37" s="30">
        <f t="shared" si="0"/>
        <v>2</v>
      </c>
      <c r="L37" s="54">
        <f t="shared" si="1"/>
        <v>46338</v>
      </c>
      <c r="M37" s="54">
        <f t="shared" si="2"/>
        <v>46351</v>
      </c>
      <c r="N37" s="30" t="s">
        <v>187</v>
      </c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47"/>
      <c r="AC37" s="47"/>
      <c r="AD37" s="33"/>
      <c r="AE37" s="33"/>
      <c r="AF37" s="33"/>
      <c r="AG37" s="62"/>
    </row>
    <row r="38" spans="1:33" x14ac:dyDescent="0.25">
      <c r="A38" s="30">
        <v>33</v>
      </c>
      <c r="B38" s="53" t="s">
        <v>74</v>
      </c>
      <c r="C38" s="31" t="s">
        <v>149</v>
      </c>
      <c r="D38" s="32"/>
      <c r="E38" s="32" t="s">
        <v>32</v>
      </c>
      <c r="F38" s="32"/>
      <c r="G38" s="53" t="s">
        <v>157</v>
      </c>
      <c r="H38" s="30" t="s">
        <v>129</v>
      </c>
      <c r="I38" s="30">
        <v>15</v>
      </c>
      <c r="J38" s="30">
        <v>15</v>
      </c>
      <c r="K38" s="30">
        <f t="shared" si="0"/>
        <v>1</v>
      </c>
      <c r="L38" s="54">
        <f t="shared" si="1"/>
        <v>46345</v>
      </c>
      <c r="M38" s="54">
        <f t="shared" si="2"/>
        <v>46351</v>
      </c>
      <c r="N38" s="30" t="s">
        <v>187</v>
      </c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47"/>
      <c r="AD38" s="33"/>
      <c r="AE38" s="33"/>
      <c r="AF38" s="33"/>
      <c r="AG38" s="62"/>
    </row>
    <row r="39" spans="1:33" x14ac:dyDescent="0.25">
      <c r="A39" s="30">
        <v>34</v>
      </c>
      <c r="B39" s="53" t="s">
        <v>74</v>
      </c>
      <c r="C39" s="31" t="s">
        <v>151</v>
      </c>
      <c r="D39" s="32"/>
      <c r="E39" s="32" t="s">
        <v>32</v>
      </c>
      <c r="F39" s="32"/>
      <c r="G39" s="53" t="s">
        <v>159</v>
      </c>
      <c r="H39" s="30" t="s">
        <v>129</v>
      </c>
      <c r="I39" s="30">
        <v>15</v>
      </c>
      <c r="J39" s="30">
        <v>16</v>
      </c>
      <c r="K39" s="30">
        <f t="shared" si="0"/>
        <v>2</v>
      </c>
      <c r="L39" s="54">
        <f t="shared" si="1"/>
        <v>46345</v>
      </c>
      <c r="M39" s="54">
        <f t="shared" si="2"/>
        <v>46358</v>
      </c>
      <c r="N39" s="30" t="s">
        <v>187</v>
      </c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47"/>
      <c r="AD39" s="47"/>
      <c r="AE39" s="33"/>
      <c r="AF39" s="33"/>
      <c r="AG39" s="62"/>
    </row>
    <row r="40" spans="1:33" x14ac:dyDescent="0.25">
      <c r="A40" s="30">
        <v>35</v>
      </c>
      <c r="B40" s="53" t="s">
        <v>74</v>
      </c>
      <c r="C40" s="31" t="s">
        <v>153</v>
      </c>
      <c r="D40" s="32"/>
      <c r="E40" s="32" t="s">
        <v>32</v>
      </c>
      <c r="F40" s="32"/>
      <c r="G40" s="53" t="s">
        <v>128</v>
      </c>
      <c r="H40" s="30" t="s">
        <v>129</v>
      </c>
      <c r="I40" s="30">
        <v>16</v>
      </c>
      <c r="J40" s="30">
        <v>16</v>
      </c>
      <c r="K40" s="30">
        <f t="shared" si="0"/>
        <v>1</v>
      </c>
      <c r="L40" s="54">
        <f t="shared" si="1"/>
        <v>46352</v>
      </c>
      <c r="M40" s="54">
        <f t="shared" si="2"/>
        <v>46358</v>
      </c>
      <c r="N40" s="30" t="s">
        <v>187</v>
      </c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47"/>
      <c r="AE40" s="33"/>
      <c r="AF40" s="33"/>
      <c r="AG40" s="62"/>
    </row>
    <row r="41" spans="1:33" ht="15.75" x14ac:dyDescent="0.25">
      <c r="A41" s="40">
        <v>36</v>
      </c>
      <c r="B41" s="42" t="s">
        <v>74</v>
      </c>
      <c r="C41" s="13" t="s">
        <v>207</v>
      </c>
      <c r="D41" s="40"/>
      <c r="E41" s="40" t="s">
        <v>32</v>
      </c>
      <c r="F41" s="40"/>
      <c r="G41" s="42" t="s">
        <v>128</v>
      </c>
      <c r="H41" s="40" t="s">
        <v>172</v>
      </c>
      <c r="I41" s="40">
        <v>16</v>
      </c>
      <c r="J41" s="40">
        <v>16</v>
      </c>
      <c r="K41" s="40">
        <f t="shared" si="0"/>
        <v>1</v>
      </c>
      <c r="L41" s="43">
        <f t="shared" si="1"/>
        <v>46352</v>
      </c>
      <c r="M41" s="43">
        <f t="shared" si="2"/>
        <v>46358</v>
      </c>
      <c r="N41" s="40" t="s">
        <v>187</v>
      </c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44" t="s">
        <v>176</v>
      </c>
      <c r="AE41" s="33"/>
      <c r="AF41" s="33"/>
      <c r="AG41" s="62"/>
    </row>
    <row r="42" spans="1:33" x14ac:dyDescent="0.25">
      <c r="A42" s="35">
        <v>37</v>
      </c>
      <c r="B42" s="55" t="s">
        <v>79</v>
      </c>
      <c r="C42" s="36" t="s">
        <v>208</v>
      </c>
      <c r="D42" s="37"/>
      <c r="E42" s="37"/>
      <c r="F42" s="37" t="s">
        <v>32</v>
      </c>
      <c r="G42" s="55" t="s">
        <v>157</v>
      </c>
      <c r="H42" s="35" t="s">
        <v>129</v>
      </c>
      <c r="I42" s="35">
        <v>17</v>
      </c>
      <c r="J42" s="35">
        <v>17</v>
      </c>
      <c r="K42" s="35">
        <f t="shared" si="0"/>
        <v>1</v>
      </c>
      <c r="L42" s="56">
        <f t="shared" si="1"/>
        <v>46359</v>
      </c>
      <c r="M42" s="56">
        <f t="shared" si="2"/>
        <v>46365</v>
      </c>
      <c r="N42" s="35" t="s">
        <v>187</v>
      </c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47"/>
      <c r="AF42" s="33"/>
      <c r="AG42" s="62"/>
    </row>
    <row r="43" spans="1:33" x14ac:dyDescent="0.25">
      <c r="A43" s="35">
        <v>38</v>
      </c>
      <c r="B43" s="55" t="s">
        <v>79</v>
      </c>
      <c r="C43" s="36" t="s">
        <v>209</v>
      </c>
      <c r="D43" s="37"/>
      <c r="E43" s="37"/>
      <c r="F43" s="37" t="s">
        <v>32</v>
      </c>
      <c r="G43" s="55" t="s">
        <v>128</v>
      </c>
      <c r="H43" s="35" t="s">
        <v>129</v>
      </c>
      <c r="I43" s="35">
        <v>17</v>
      </c>
      <c r="J43" s="35">
        <v>17</v>
      </c>
      <c r="K43" s="35">
        <f t="shared" si="0"/>
        <v>1</v>
      </c>
      <c r="L43" s="56">
        <f t="shared" si="1"/>
        <v>46359</v>
      </c>
      <c r="M43" s="56">
        <f t="shared" si="2"/>
        <v>46365</v>
      </c>
      <c r="N43" s="35" t="s">
        <v>187</v>
      </c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47"/>
      <c r="AF43" s="33"/>
      <c r="AG43" s="62"/>
    </row>
    <row r="44" spans="1:33" x14ac:dyDescent="0.25">
      <c r="A44" s="35">
        <v>39</v>
      </c>
      <c r="B44" s="55" t="s">
        <v>79</v>
      </c>
      <c r="C44" s="36" t="s">
        <v>210</v>
      </c>
      <c r="D44" s="37"/>
      <c r="E44" s="37"/>
      <c r="F44" s="37" t="s">
        <v>32</v>
      </c>
      <c r="G44" s="55" t="s">
        <v>128</v>
      </c>
      <c r="H44" s="35" t="s">
        <v>129</v>
      </c>
      <c r="I44" s="35">
        <v>17</v>
      </c>
      <c r="J44" s="35">
        <v>18</v>
      </c>
      <c r="K44" s="35">
        <f t="shared" si="0"/>
        <v>2</v>
      </c>
      <c r="L44" s="56">
        <f t="shared" si="1"/>
        <v>46359</v>
      </c>
      <c r="M44" s="56">
        <f t="shared" si="2"/>
        <v>46372</v>
      </c>
      <c r="N44" s="35" t="s">
        <v>187</v>
      </c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47"/>
      <c r="AF44" s="47"/>
      <c r="AG44" s="62"/>
    </row>
    <row r="45" spans="1:33" ht="15.75" x14ac:dyDescent="0.25">
      <c r="A45" s="40">
        <v>40</v>
      </c>
      <c r="B45" s="42" t="s">
        <v>79</v>
      </c>
      <c r="C45" s="13" t="s">
        <v>78</v>
      </c>
      <c r="D45" s="40"/>
      <c r="E45" s="40"/>
      <c r="F45" s="40" t="s">
        <v>32</v>
      </c>
      <c r="G45" s="42" t="s">
        <v>128</v>
      </c>
      <c r="H45" s="40" t="s">
        <v>172</v>
      </c>
      <c r="I45" s="40">
        <v>18</v>
      </c>
      <c r="J45" s="40">
        <v>18</v>
      </c>
      <c r="K45" s="40">
        <f t="shared" si="0"/>
        <v>1</v>
      </c>
      <c r="L45" s="43">
        <f t="shared" si="1"/>
        <v>46366</v>
      </c>
      <c r="M45" s="43">
        <f t="shared" si="2"/>
        <v>46372</v>
      </c>
      <c r="N45" s="40" t="s">
        <v>187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44" t="s">
        <v>176</v>
      </c>
      <c r="AG45" s="62"/>
    </row>
    <row r="46" spans="1:33" ht="15.75" x14ac:dyDescent="0.25">
      <c r="A46" s="40">
        <v>41</v>
      </c>
      <c r="B46" s="42" t="s">
        <v>79</v>
      </c>
      <c r="C46" s="13" t="s">
        <v>166</v>
      </c>
      <c r="D46" s="40"/>
      <c r="E46" s="40"/>
      <c r="F46" s="40" t="s">
        <v>32</v>
      </c>
      <c r="G46" s="42" t="s">
        <v>128</v>
      </c>
      <c r="H46" s="40" t="s">
        <v>172</v>
      </c>
      <c r="I46" s="40">
        <v>18</v>
      </c>
      <c r="J46" s="40">
        <v>18</v>
      </c>
      <c r="K46" s="40">
        <f t="shared" si="0"/>
        <v>1</v>
      </c>
      <c r="L46" s="43">
        <f t="shared" si="1"/>
        <v>46366</v>
      </c>
      <c r="M46" s="43">
        <f t="shared" si="2"/>
        <v>46372</v>
      </c>
      <c r="N46" s="40" t="s">
        <v>187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44" t="s">
        <v>176</v>
      </c>
      <c r="AG46" s="62"/>
    </row>
    <row r="47" spans="1:33" x14ac:dyDescent="0.25">
      <c r="A47" s="38">
        <v>42</v>
      </c>
      <c r="B47" s="57" t="s">
        <v>190</v>
      </c>
      <c r="C47" s="39" t="s">
        <v>211</v>
      </c>
      <c r="D47" s="41" t="s">
        <v>32</v>
      </c>
      <c r="E47" s="41" t="s">
        <v>32</v>
      </c>
      <c r="F47" s="41" t="s">
        <v>32</v>
      </c>
      <c r="G47" s="57" t="s">
        <v>128</v>
      </c>
      <c r="H47" s="38" t="s">
        <v>129</v>
      </c>
      <c r="I47" s="38">
        <v>1</v>
      </c>
      <c r="J47" s="38">
        <v>18</v>
      </c>
      <c r="K47" s="38">
        <f t="shared" si="0"/>
        <v>18</v>
      </c>
      <c r="L47" s="58">
        <f t="shared" si="1"/>
        <v>46247</v>
      </c>
      <c r="M47" s="58">
        <f t="shared" si="2"/>
        <v>46372</v>
      </c>
      <c r="N47" s="38" t="s">
        <v>180</v>
      </c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62"/>
    </row>
    <row r="48" spans="1:33" x14ac:dyDescent="0.25">
      <c r="A48" s="38">
        <v>43</v>
      </c>
      <c r="B48" s="57" t="s">
        <v>190</v>
      </c>
      <c r="C48" s="39" t="s">
        <v>212</v>
      </c>
      <c r="D48" s="41" t="s">
        <v>32</v>
      </c>
      <c r="E48" s="41" t="s">
        <v>32</v>
      </c>
      <c r="F48" s="41" t="s">
        <v>32</v>
      </c>
      <c r="G48" s="57" t="s">
        <v>128</v>
      </c>
      <c r="H48" s="38" t="s">
        <v>129</v>
      </c>
      <c r="I48" s="38">
        <v>1</v>
      </c>
      <c r="J48" s="38">
        <v>18</v>
      </c>
      <c r="K48" s="38">
        <f t="shared" si="0"/>
        <v>18</v>
      </c>
      <c r="L48" s="58">
        <f t="shared" si="1"/>
        <v>46247</v>
      </c>
      <c r="M48" s="58">
        <f t="shared" si="2"/>
        <v>46372</v>
      </c>
      <c r="N48" s="38" t="s">
        <v>180</v>
      </c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62"/>
    </row>
    <row r="49" spans="1:33" x14ac:dyDescent="0.25">
      <c r="A49" s="38">
        <v>44</v>
      </c>
      <c r="B49" s="57" t="s">
        <v>190</v>
      </c>
      <c r="C49" s="39" t="s">
        <v>213</v>
      </c>
      <c r="D49" s="41" t="s">
        <v>32</v>
      </c>
      <c r="E49" s="41" t="s">
        <v>32</v>
      </c>
      <c r="F49" s="41" t="s">
        <v>32</v>
      </c>
      <c r="G49" s="57" t="s">
        <v>157</v>
      </c>
      <c r="H49" s="38" t="s">
        <v>129</v>
      </c>
      <c r="I49" s="38">
        <v>1</v>
      </c>
      <c r="J49" s="38">
        <v>18</v>
      </c>
      <c r="K49" s="38">
        <f t="shared" si="0"/>
        <v>18</v>
      </c>
      <c r="L49" s="58">
        <f t="shared" si="1"/>
        <v>46247</v>
      </c>
      <c r="M49" s="58">
        <f t="shared" si="2"/>
        <v>46372</v>
      </c>
      <c r="N49" s="38" t="s">
        <v>180</v>
      </c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62"/>
    </row>
    <row r="50" spans="1:33" ht="15.75" customHeight="1" x14ac:dyDescent="0.25"/>
    <row r="51" spans="1:33" ht="15" customHeight="1" x14ac:dyDescent="0.25">
      <c r="A51" s="59" t="s">
        <v>214</v>
      </c>
      <c r="B51" s="34" t="s">
        <v>215</v>
      </c>
      <c r="C51" s="60" t="s">
        <v>144</v>
      </c>
      <c r="E51" s="50" t="s">
        <v>215</v>
      </c>
      <c r="F51" s="60" t="s">
        <v>180</v>
      </c>
      <c r="H51" s="47" t="s">
        <v>215</v>
      </c>
      <c r="I51" s="60" t="s">
        <v>187</v>
      </c>
      <c r="K51" s="61" t="s">
        <v>215</v>
      </c>
      <c r="L51" s="60" t="s">
        <v>216</v>
      </c>
    </row>
    <row r="52" spans="1:33" ht="15.75" customHeight="1" x14ac:dyDescent="0.25"/>
    <row r="53" spans="1:33" ht="15.75" customHeight="1" x14ac:dyDescent="0.25"/>
    <row r="54" spans="1:33" ht="15.75" customHeight="1" x14ac:dyDescent="0.25"/>
    <row r="55" spans="1:33" ht="15.75" customHeight="1" x14ac:dyDescent="0.25"/>
    <row r="56" spans="1:33" ht="15.75" customHeight="1" x14ac:dyDescent="0.25"/>
    <row r="57" spans="1:33" ht="15.75" customHeight="1" x14ac:dyDescent="0.25"/>
    <row r="58" spans="1:33" ht="15.75" customHeight="1" x14ac:dyDescent="0.25"/>
    <row r="59" spans="1:33" ht="15.75" customHeight="1" x14ac:dyDescent="0.25"/>
    <row r="60" spans="1:33" ht="15.75" customHeight="1" x14ac:dyDescent="0.25"/>
    <row r="61" spans="1:33" ht="15.75" customHeight="1" x14ac:dyDescent="0.25"/>
    <row r="62" spans="1:33" ht="15.75" customHeight="1" x14ac:dyDescent="0.25"/>
    <row r="63" spans="1:33" ht="15.75" customHeight="1" x14ac:dyDescent="0.25"/>
    <row r="64" spans="1:3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1:AF1"/>
    <mergeCell ref="A2:AF2"/>
    <mergeCell ref="A4:C4"/>
    <mergeCell ref="D4:F4"/>
    <mergeCell ref="G4:N4"/>
    <mergeCell ref="O4:R4"/>
    <mergeCell ref="S4:AD4"/>
    <mergeCell ref="AE4:AF4"/>
  </mergeCells>
  <pageMargins left="0.75" right="0.75" top="1" bottom="1" header="0" footer="0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00"/>
  <sheetViews>
    <sheetView showGridLines="0" tabSelected="1" workbookViewId="0">
      <selection activeCell="E19" sqref="E19"/>
    </sheetView>
  </sheetViews>
  <sheetFormatPr baseColWidth="10" defaultColWidth="14.42578125" defaultRowHeight="15" customHeight="1" x14ac:dyDescent="0.25"/>
  <cols>
    <col min="1" max="1" width="58" customWidth="1"/>
    <col min="2" max="7" width="13" customWidth="1"/>
    <col min="8" max="8" width="8.7109375" customWidth="1"/>
  </cols>
  <sheetData>
    <row r="1" spans="1:8" ht="25.5" customHeight="1" x14ac:dyDescent="0.35">
      <c r="A1" s="72" t="s">
        <v>0</v>
      </c>
      <c r="B1" s="64"/>
      <c r="C1" s="64"/>
      <c r="D1" s="64"/>
      <c r="E1" s="64"/>
      <c r="F1" s="64"/>
      <c r="G1" s="64"/>
      <c r="H1" s="64"/>
    </row>
    <row r="2" spans="1:8" ht="15" customHeight="1" x14ac:dyDescent="0.25">
      <c r="A2" s="65" t="s">
        <v>2</v>
      </c>
      <c r="B2" s="64"/>
      <c r="C2" s="64"/>
      <c r="D2" s="64"/>
      <c r="E2" s="64"/>
      <c r="F2" s="64"/>
      <c r="G2" s="64"/>
      <c r="H2" s="64"/>
    </row>
    <row r="4" spans="1:8" ht="27.75" customHeight="1" x14ac:dyDescent="0.25">
      <c r="A4" s="73" t="s">
        <v>3</v>
      </c>
      <c r="B4" s="67"/>
      <c r="C4" s="73" t="s">
        <v>7</v>
      </c>
      <c r="D4" s="67"/>
      <c r="E4" s="73" t="s">
        <v>11</v>
      </c>
      <c r="F4" s="67"/>
      <c r="G4" s="73" t="s">
        <v>14</v>
      </c>
      <c r="H4" s="67"/>
    </row>
    <row r="5" spans="1:8" ht="31.5" customHeight="1" x14ac:dyDescent="0.25">
      <c r="A5" s="71">
        <f>'Carta Gantt'!F3</f>
        <v>12</v>
      </c>
      <c r="B5" s="67"/>
      <c r="C5" s="71">
        <v>18</v>
      </c>
      <c r="D5" s="67"/>
      <c r="E5" s="71">
        <f>COUNTIF('Carta Gantt'!$H$6:$H$49,"Hito")</f>
        <v>8</v>
      </c>
      <c r="F5" s="67"/>
      <c r="G5" s="74">
        <f>COUNTIFS('Carta Gantt'!$H$6:$H$49,"Tarea",'Carta Gantt'!$N$6:$N$49,"Completado")/COUNTIF('Carta Gantt'!$H$6:$H$49,"Tarea")</f>
        <v>0.3611111111111111</v>
      </c>
      <c r="H5" s="67"/>
    </row>
    <row r="8" spans="1:8" ht="21.75" customHeight="1" x14ac:dyDescent="0.25">
      <c r="A8" s="1" t="s">
        <v>51</v>
      </c>
      <c r="B8" s="1" t="s">
        <v>52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62</v>
      </c>
    </row>
    <row r="9" spans="1:8" ht="15" customHeight="1" x14ac:dyDescent="0.25">
      <c r="A9" s="9" t="s">
        <v>18</v>
      </c>
      <c r="B9" s="8">
        <f>_xlfn.MINIFS('Carta Gantt'!$I$6:$I$49,'Carta Gantt'!$B$6:$B$49,$A9)</f>
        <v>1</v>
      </c>
      <c r="C9" s="8">
        <f>_xlfn.MINIFS('Carta Gantt'!$I$6:$I$49,'Carta Gantt'!$B$6:$B$49,$A9)</f>
        <v>1</v>
      </c>
      <c r="D9" s="8">
        <f>_xlfn.MINIFS('Carta Gantt'!$I$6:$I$49,'Carta Gantt'!$B$6:$B$49,$A9)</f>
        <v>1</v>
      </c>
      <c r="E9" s="8">
        <f>_xlfn.MINIFS('Carta Gantt'!$I$6:$I$49,'Carta Gantt'!$B$6:$B$49,$A9)</f>
        <v>1</v>
      </c>
      <c r="F9" s="8">
        <f>_xlfn.MINIFS('Carta Gantt'!$I$6:$I$49,'Carta Gantt'!$B$6:$B$49,$A9)</f>
        <v>1</v>
      </c>
      <c r="G9" s="8">
        <f>_xlfn.MINIFS('Carta Gantt'!$I$6:$I$49,'Carta Gantt'!$B$6:$B$49,$A9)</f>
        <v>1</v>
      </c>
    </row>
    <row r="10" spans="1:8" ht="15" customHeight="1" x14ac:dyDescent="0.25">
      <c r="A10" s="20" t="s">
        <v>48</v>
      </c>
      <c r="B10" s="19">
        <f>_xlfn.MINIFS('Carta Gantt'!$I$6:$I$49,'Carta Gantt'!$B$6:$B$49,$A10)</f>
        <v>4</v>
      </c>
      <c r="C10" s="19">
        <f>_xlfn.MINIFS('Carta Gantt'!$I$6:$I$49,'Carta Gantt'!$B$6:$B$49,$A10)</f>
        <v>4</v>
      </c>
      <c r="D10" s="19">
        <f>_xlfn.MINIFS('Carta Gantt'!$I$6:$I$49,'Carta Gantt'!$B$6:$B$49,$A10)</f>
        <v>4</v>
      </c>
      <c r="E10" s="19">
        <f>_xlfn.MINIFS('Carta Gantt'!$I$6:$I$49,'Carta Gantt'!$B$6:$B$49,$A10)</f>
        <v>4</v>
      </c>
      <c r="F10" s="19">
        <f>_xlfn.MINIFS('Carta Gantt'!$I$6:$I$49,'Carta Gantt'!$B$6:$B$49,$A10)</f>
        <v>4</v>
      </c>
      <c r="G10" s="19">
        <f>_xlfn.MINIFS('Carta Gantt'!$I$6:$I$49,'Carta Gantt'!$B$6:$B$49,$A10)</f>
        <v>4</v>
      </c>
    </row>
    <row r="11" spans="1:8" ht="15" customHeight="1" x14ac:dyDescent="0.25">
      <c r="A11" s="23" t="s">
        <v>55</v>
      </c>
      <c r="B11" s="2">
        <f>_xlfn.MINIFS('Carta Gantt'!$I$6:$I$49,'Carta Gantt'!$B$6:$B$49,$A11)</f>
        <v>7</v>
      </c>
      <c r="C11" s="2">
        <f>_xlfn.MINIFS('Carta Gantt'!$I$6:$I$49,'Carta Gantt'!$B$6:$B$49,$A11)</f>
        <v>7</v>
      </c>
      <c r="D11" s="2">
        <f>_xlfn.MINIFS('Carta Gantt'!$I$6:$I$49,'Carta Gantt'!$B$6:$B$49,$A11)</f>
        <v>7</v>
      </c>
      <c r="E11" s="2">
        <f>_xlfn.MINIFS('Carta Gantt'!$I$6:$I$49,'Carta Gantt'!$B$6:$B$49,$A11)</f>
        <v>7</v>
      </c>
      <c r="F11" s="2">
        <f>_xlfn.MINIFS('Carta Gantt'!$I$6:$I$49,'Carta Gantt'!$B$6:$B$49,$A11)</f>
        <v>7</v>
      </c>
      <c r="G11" s="2">
        <f>_xlfn.MINIFS('Carta Gantt'!$I$6:$I$49,'Carta Gantt'!$B$6:$B$49,$A11)</f>
        <v>7</v>
      </c>
    </row>
    <row r="12" spans="1:8" ht="23.25" customHeight="1" x14ac:dyDescent="0.25">
      <c r="A12" s="27" t="s">
        <v>66</v>
      </c>
      <c r="B12" s="26">
        <f>_xlfn.MINIFS('Carta Gantt'!$I$6:$I$49,'Carta Gantt'!$B$6:$B$49,$A12)</f>
        <v>10</v>
      </c>
      <c r="C12" s="26">
        <f>_xlfn.MINIFS('Carta Gantt'!$I$6:$I$49,'Carta Gantt'!$B$6:$B$49,$A12)</f>
        <v>10</v>
      </c>
      <c r="D12" s="26">
        <f>_xlfn.MINIFS('Carta Gantt'!$I$6:$I$49,'Carta Gantt'!$B$6:$B$49,$A12)</f>
        <v>10</v>
      </c>
      <c r="E12" s="26">
        <f>_xlfn.MINIFS('Carta Gantt'!$I$6:$I$49,'Carta Gantt'!$B$6:$B$49,$A12)</f>
        <v>10</v>
      </c>
      <c r="F12" s="26">
        <f>_xlfn.MINIFS('Carta Gantt'!$I$6:$I$49,'Carta Gantt'!$B$6:$B$49,$A12)</f>
        <v>10</v>
      </c>
      <c r="G12" s="26">
        <f>_xlfn.MINIFS('Carta Gantt'!$I$6:$I$49,'Carta Gantt'!$B$6:$B$49,$A12)</f>
        <v>10</v>
      </c>
    </row>
    <row r="13" spans="1:8" ht="23.25" customHeight="1" x14ac:dyDescent="0.25">
      <c r="A13" s="31" t="s">
        <v>74</v>
      </c>
      <c r="B13" s="30">
        <f>_xlfn.MINIFS('Carta Gantt'!$I$6:$I$49,'Carta Gantt'!$B$6:$B$49,$A13)</f>
        <v>14</v>
      </c>
      <c r="C13" s="30">
        <f>_xlfn.MINIFS('Carta Gantt'!$I$6:$I$49,'Carta Gantt'!$B$6:$B$49,$A13)</f>
        <v>14</v>
      </c>
      <c r="D13" s="30">
        <f>_xlfn.MINIFS('Carta Gantt'!$I$6:$I$49,'Carta Gantt'!$B$6:$B$49,$A13)</f>
        <v>14</v>
      </c>
      <c r="E13" s="30">
        <f>_xlfn.MINIFS('Carta Gantt'!$I$6:$I$49,'Carta Gantt'!$B$6:$B$49,$A13)</f>
        <v>14</v>
      </c>
      <c r="F13" s="30">
        <f>_xlfn.MINIFS('Carta Gantt'!$I$6:$I$49,'Carta Gantt'!$B$6:$B$49,$A13)</f>
        <v>14</v>
      </c>
      <c r="G13" s="30">
        <f>_xlfn.MINIFS('Carta Gantt'!$I$6:$I$49,'Carta Gantt'!$B$6:$B$49,$A13)</f>
        <v>14</v>
      </c>
    </row>
    <row r="14" spans="1:8" ht="15" customHeight="1" x14ac:dyDescent="0.25">
      <c r="A14" s="36" t="s">
        <v>79</v>
      </c>
      <c r="B14" s="35">
        <f>_xlfn.MINIFS('Carta Gantt'!$I$6:$I$49,'Carta Gantt'!$B$6:$B$49,$A14)</f>
        <v>17</v>
      </c>
      <c r="C14" s="35">
        <f>_xlfn.MINIFS('Carta Gantt'!$I$6:$I$49,'Carta Gantt'!$B$6:$B$49,$A14)</f>
        <v>17</v>
      </c>
      <c r="D14" s="35">
        <f>_xlfn.MINIFS('Carta Gantt'!$I$6:$I$49,'Carta Gantt'!$B$6:$B$49,$A14)</f>
        <v>17</v>
      </c>
      <c r="E14" s="35">
        <f>_xlfn.MINIFS('Carta Gantt'!$I$6:$I$49,'Carta Gantt'!$B$6:$B$49,$A14)</f>
        <v>17</v>
      </c>
      <c r="F14" s="35">
        <f>_xlfn.MINIFS('Carta Gantt'!$I$6:$I$49,'Carta Gantt'!$B$6:$B$49,$A14)</f>
        <v>17</v>
      </c>
      <c r="G14" s="35">
        <f>_xlfn.MINIFS('Carta Gantt'!$I$6:$I$49,'Carta Gantt'!$B$6:$B$49,$A14)</f>
        <v>17</v>
      </c>
    </row>
    <row r="15" spans="1:8" ht="15" customHeight="1" x14ac:dyDescent="0.25">
      <c r="A15" s="39" t="s">
        <v>190</v>
      </c>
      <c r="B15" s="38">
        <f>_xlfn.MINIFS('Carta Gantt'!$I$6:$I$49,'Carta Gantt'!$B$6:$B$49,$A15)</f>
        <v>1</v>
      </c>
      <c r="C15" s="38">
        <f>_xlfn.MINIFS('Carta Gantt'!$I$6:$I$49,'Carta Gantt'!$B$6:$B$49,$A15)</f>
        <v>1</v>
      </c>
      <c r="D15" s="38">
        <f>_xlfn.MINIFS('Carta Gantt'!$I$6:$I$49,'Carta Gantt'!$B$6:$B$49,$A15)</f>
        <v>1</v>
      </c>
      <c r="E15" s="38">
        <f>_xlfn.MINIFS('Carta Gantt'!$I$6:$I$49,'Carta Gantt'!$B$6:$B$49,$A15)</f>
        <v>1</v>
      </c>
      <c r="F15" s="38">
        <f>_xlfn.MINIFS('Carta Gantt'!$I$6:$I$49,'Carta Gantt'!$B$6:$B$49,$A15)</f>
        <v>1</v>
      </c>
      <c r="G15" s="38">
        <f>_xlfn.MINIFS('Carta Gantt'!$I$6:$I$49,'Carta Gantt'!$B$6:$B$49,$A15)</f>
        <v>1</v>
      </c>
    </row>
    <row r="17" spans="1:1" x14ac:dyDescent="0.25">
      <c r="A17" s="16" t="s">
        <v>195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C5:D5"/>
    <mergeCell ref="E5:F5"/>
    <mergeCell ref="A1:H1"/>
    <mergeCell ref="A2:H2"/>
    <mergeCell ref="A4:B4"/>
    <mergeCell ref="C4:D4"/>
    <mergeCell ref="E4:F4"/>
    <mergeCell ref="G4:H4"/>
    <mergeCell ref="A5:B5"/>
    <mergeCell ref="G5:H5"/>
  </mergeCells>
  <pageMargins left="0.75" right="0.75" top="1" bottom="1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000"/>
  <sheetViews>
    <sheetView showGridLines="0" workbookViewId="0"/>
  </sheetViews>
  <sheetFormatPr baseColWidth="10" defaultColWidth="14.42578125" defaultRowHeight="15" customHeight="1" x14ac:dyDescent="0.25"/>
  <cols>
    <col min="1" max="1" width="6" customWidth="1"/>
    <col min="2" max="2" width="55.7109375" customWidth="1"/>
    <col min="3" max="3" width="51.28515625" customWidth="1"/>
    <col min="4" max="4" width="10" customWidth="1"/>
    <col min="5" max="5" width="16" customWidth="1"/>
    <col min="6" max="6" width="8.7109375" customWidth="1"/>
  </cols>
  <sheetData>
    <row r="1" spans="1:5" ht="25.5" customHeight="1" x14ac:dyDescent="0.35">
      <c r="A1" s="72" t="s">
        <v>1</v>
      </c>
      <c r="B1" s="64"/>
      <c r="C1" s="64"/>
      <c r="D1" s="64"/>
      <c r="E1" s="64"/>
    </row>
    <row r="3" spans="1:5" ht="19.5" customHeight="1" x14ac:dyDescent="0.25">
      <c r="A3" s="1" t="s">
        <v>5</v>
      </c>
      <c r="B3" s="1" t="s">
        <v>8</v>
      </c>
      <c r="C3" s="1" t="s">
        <v>9</v>
      </c>
      <c r="D3" s="1" t="s">
        <v>10</v>
      </c>
      <c r="E3" s="1" t="s">
        <v>12</v>
      </c>
    </row>
    <row r="4" spans="1:5" ht="15" customHeight="1" x14ac:dyDescent="0.25">
      <c r="A4" s="2"/>
      <c r="B4" s="3" t="s">
        <v>16</v>
      </c>
      <c r="C4" s="4" t="s">
        <v>18</v>
      </c>
      <c r="D4" s="2" t="s">
        <v>22</v>
      </c>
      <c r="E4" s="6">
        <v>46255</v>
      </c>
    </row>
    <row r="5" spans="1:5" ht="15" customHeight="1" x14ac:dyDescent="0.25">
      <c r="A5" s="2"/>
      <c r="B5" s="3" t="s">
        <v>27</v>
      </c>
      <c r="C5" s="4" t="s">
        <v>18</v>
      </c>
      <c r="D5" s="2" t="s">
        <v>28</v>
      </c>
      <c r="E5" s="6">
        <v>46262</v>
      </c>
    </row>
    <row r="6" spans="1:5" ht="15" customHeight="1" x14ac:dyDescent="0.25">
      <c r="A6" s="2"/>
      <c r="B6" s="3" t="s">
        <v>29</v>
      </c>
      <c r="C6" s="4" t="s">
        <v>18</v>
      </c>
      <c r="D6" s="2" t="s">
        <v>28</v>
      </c>
      <c r="E6" s="6">
        <v>46265</v>
      </c>
    </row>
    <row r="7" spans="1:5" ht="15" customHeight="1" x14ac:dyDescent="0.25">
      <c r="A7" s="2">
        <v>7</v>
      </c>
      <c r="B7" s="3" t="s">
        <v>30</v>
      </c>
      <c r="C7" s="4" t="s">
        <v>18</v>
      </c>
      <c r="D7" s="2" t="s">
        <v>28</v>
      </c>
      <c r="E7" s="6">
        <f>'Carta Gantt'!M12</f>
        <v>46267</v>
      </c>
    </row>
    <row r="8" spans="1:5" ht="15" customHeight="1" x14ac:dyDescent="0.25">
      <c r="A8" s="2">
        <v>10</v>
      </c>
      <c r="B8" s="3" t="s">
        <v>43</v>
      </c>
      <c r="C8" s="4" t="s">
        <v>18</v>
      </c>
      <c r="D8" s="2" t="s">
        <v>44</v>
      </c>
      <c r="E8" s="6">
        <f>'Carta Gantt'!M15</f>
        <v>46274</v>
      </c>
    </row>
    <row r="9" spans="1:5" ht="15" customHeight="1" x14ac:dyDescent="0.25">
      <c r="A9" s="2">
        <v>16</v>
      </c>
      <c r="B9" s="3" t="s">
        <v>47</v>
      </c>
      <c r="C9" s="4" t="s">
        <v>48</v>
      </c>
      <c r="D9" s="2" t="s">
        <v>49</v>
      </c>
      <c r="E9" s="6">
        <f>'Carta Gantt'!M21</f>
        <v>46288</v>
      </c>
    </row>
    <row r="10" spans="1:5" ht="15" customHeight="1" x14ac:dyDescent="0.25">
      <c r="A10" s="2">
        <v>23</v>
      </c>
      <c r="B10" s="3" t="s">
        <v>53</v>
      </c>
      <c r="C10" s="4" t="s">
        <v>55</v>
      </c>
      <c r="D10" s="2" t="s">
        <v>56</v>
      </c>
      <c r="E10" s="6">
        <f>'Carta Gantt'!M28</f>
        <v>46309</v>
      </c>
    </row>
    <row r="11" spans="1:5" ht="15" customHeight="1" x14ac:dyDescent="0.25">
      <c r="A11" s="2">
        <v>30</v>
      </c>
      <c r="B11" s="3" t="s">
        <v>65</v>
      </c>
      <c r="C11" s="4" t="s">
        <v>66</v>
      </c>
      <c r="D11" s="2" t="s">
        <v>68</v>
      </c>
      <c r="E11" s="6">
        <f>'Carta Gantt'!M35</f>
        <v>46337</v>
      </c>
    </row>
    <row r="12" spans="1:5" x14ac:dyDescent="0.25">
      <c r="A12" s="2">
        <v>36</v>
      </c>
      <c r="B12" s="3" t="s">
        <v>73</v>
      </c>
      <c r="C12" s="4" t="s">
        <v>74</v>
      </c>
      <c r="D12" s="2" t="s">
        <v>75</v>
      </c>
      <c r="E12" s="6">
        <f>'Carta Gantt'!M41</f>
        <v>46358</v>
      </c>
    </row>
    <row r="13" spans="1:5" x14ac:dyDescent="0.25">
      <c r="A13" s="2">
        <v>40</v>
      </c>
      <c r="B13" s="3" t="s">
        <v>78</v>
      </c>
      <c r="C13" s="4" t="s">
        <v>79</v>
      </c>
      <c r="D13" s="2" t="s">
        <v>80</v>
      </c>
      <c r="E13" s="6">
        <f>'Carta Gantt'!M45</f>
        <v>46372</v>
      </c>
    </row>
    <row r="14" spans="1:5" x14ac:dyDescent="0.25">
      <c r="A14" s="2">
        <v>41</v>
      </c>
      <c r="B14" s="3" t="s">
        <v>85</v>
      </c>
      <c r="C14" s="4" t="s">
        <v>79</v>
      </c>
      <c r="D14" s="2" t="s">
        <v>80</v>
      </c>
      <c r="E14" s="6">
        <f>'Carta Gantt'!M46</f>
        <v>46372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E1"/>
  </mergeCells>
  <pageMargins left="0.75" right="0.75" top="1" bottom="1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000"/>
  <sheetViews>
    <sheetView showGridLines="0" workbookViewId="0"/>
  </sheetViews>
  <sheetFormatPr baseColWidth="10" defaultColWidth="14.42578125" defaultRowHeight="15" customHeight="1" x14ac:dyDescent="0.25"/>
  <cols>
    <col min="1" max="1" width="6" customWidth="1"/>
    <col min="2" max="2" width="59.42578125" customWidth="1"/>
    <col min="3" max="3" width="10.5703125" customWidth="1"/>
    <col min="4" max="5" width="8" customWidth="1"/>
    <col min="6" max="6" width="161.5703125" customWidth="1"/>
  </cols>
  <sheetData>
    <row r="1" spans="1:6" ht="25.5" customHeight="1" x14ac:dyDescent="0.35">
      <c r="A1" s="72" t="s">
        <v>6</v>
      </c>
      <c r="B1" s="64"/>
      <c r="C1" s="64"/>
      <c r="D1" s="64"/>
      <c r="E1" s="64"/>
      <c r="F1" s="64"/>
    </row>
    <row r="2" spans="1:6" ht="15" customHeight="1" x14ac:dyDescent="0.25">
      <c r="A2" s="65" t="s">
        <v>13</v>
      </c>
      <c r="B2" s="64"/>
      <c r="C2" s="64"/>
      <c r="D2" s="64"/>
      <c r="E2" s="64"/>
      <c r="F2" s="64"/>
    </row>
    <row r="4" spans="1:6" ht="19.5" customHeight="1" x14ac:dyDescent="0.25">
      <c r="A4" s="1" t="s">
        <v>5</v>
      </c>
      <c r="B4" s="1" t="s">
        <v>17</v>
      </c>
      <c r="C4" s="1" t="s">
        <v>20</v>
      </c>
      <c r="D4" s="1" t="s">
        <v>21</v>
      </c>
      <c r="E4" s="1" t="s">
        <v>23</v>
      </c>
      <c r="F4" s="1" t="s">
        <v>24</v>
      </c>
    </row>
    <row r="5" spans="1:6" ht="23.25" customHeight="1" x14ac:dyDescent="0.25">
      <c r="A5" s="8">
        <v>1</v>
      </c>
      <c r="B5" s="9" t="s">
        <v>31</v>
      </c>
      <c r="C5" s="11" t="s">
        <v>32</v>
      </c>
      <c r="D5" s="11"/>
      <c r="E5" s="11"/>
      <c r="F5" s="9" t="s">
        <v>34</v>
      </c>
    </row>
    <row r="6" spans="1:6" ht="27.75" customHeight="1" x14ac:dyDescent="0.25">
      <c r="A6" s="8">
        <v>2</v>
      </c>
      <c r="B6" s="9" t="s">
        <v>35</v>
      </c>
      <c r="C6" s="11" t="s">
        <v>32</v>
      </c>
      <c r="D6" s="11"/>
      <c r="E6" s="11"/>
      <c r="F6" s="9" t="s">
        <v>36</v>
      </c>
    </row>
    <row r="7" spans="1:6" ht="27.75" customHeight="1" x14ac:dyDescent="0.25">
      <c r="A7" s="8">
        <v>3</v>
      </c>
      <c r="B7" s="9" t="s">
        <v>37</v>
      </c>
      <c r="C7" s="11" t="s">
        <v>32</v>
      </c>
      <c r="D7" s="11"/>
      <c r="E7" s="11"/>
      <c r="F7" s="9" t="s">
        <v>38</v>
      </c>
    </row>
    <row r="8" spans="1:6" ht="38.25" customHeight="1" x14ac:dyDescent="0.25">
      <c r="A8" s="8">
        <v>4</v>
      </c>
      <c r="B8" s="9" t="s">
        <v>39</v>
      </c>
      <c r="C8" s="11" t="s">
        <v>32</v>
      </c>
      <c r="D8" s="11"/>
      <c r="E8" s="11"/>
      <c r="F8" s="9" t="s">
        <v>40</v>
      </c>
    </row>
    <row r="9" spans="1:6" ht="29.25" customHeight="1" x14ac:dyDescent="0.25">
      <c r="A9" s="8">
        <v>5</v>
      </c>
      <c r="B9" s="9" t="s">
        <v>41</v>
      </c>
      <c r="C9" s="11" t="s">
        <v>32</v>
      </c>
      <c r="D9" s="11"/>
      <c r="E9" s="11"/>
      <c r="F9" s="9" t="s">
        <v>42</v>
      </c>
    </row>
    <row r="10" spans="1:6" ht="23.25" customHeight="1" x14ac:dyDescent="0.25">
      <c r="A10" s="8">
        <v>6</v>
      </c>
      <c r="B10" s="9" t="s">
        <v>45</v>
      </c>
      <c r="C10" s="11" t="s">
        <v>32</v>
      </c>
      <c r="D10" s="11"/>
      <c r="E10" s="11"/>
      <c r="F10" s="9" t="s">
        <v>46</v>
      </c>
    </row>
    <row r="11" spans="1:6" ht="23.25" customHeight="1" x14ac:dyDescent="0.25">
      <c r="A11" s="12">
        <v>7</v>
      </c>
      <c r="B11" s="13" t="s">
        <v>30</v>
      </c>
      <c r="C11" s="15" t="s">
        <v>32</v>
      </c>
      <c r="D11" s="15"/>
      <c r="E11" s="15"/>
      <c r="F11" s="17" t="s">
        <v>54</v>
      </c>
    </row>
    <row r="12" spans="1:6" ht="23.25" customHeight="1" x14ac:dyDescent="0.25">
      <c r="A12" s="8">
        <v>8</v>
      </c>
      <c r="B12" s="9" t="s">
        <v>61</v>
      </c>
      <c r="C12" s="11" t="s">
        <v>32</v>
      </c>
      <c r="D12" s="11"/>
      <c r="E12" s="11"/>
      <c r="F12" s="9" t="s">
        <v>64</v>
      </c>
    </row>
    <row r="13" spans="1:6" ht="23.25" customHeight="1" x14ac:dyDescent="0.25">
      <c r="A13" s="8">
        <v>9</v>
      </c>
      <c r="B13" s="9" t="s">
        <v>67</v>
      </c>
      <c r="C13" s="11" t="s">
        <v>32</v>
      </c>
      <c r="D13" s="11"/>
      <c r="E13" s="11"/>
      <c r="F13" s="9" t="s">
        <v>69</v>
      </c>
    </row>
    <row r="14" spans="1:6" ht="23.25" customHeight="1" x14ac:dyDescent="0.25">
      <c r="A14" s="12">
        <v>10</v>
      </c>
      <c r="B14" s="13" t="s">
        <v>71</v>
      </c>
      <c r="C14" s="15" t="s">
        <v>32</v>
      </c>
      <c r="D14" s="15"/>
      <c r="E14" s="15"/>
      <c r="F14" s="17" t="s">
        <v>72</v>
      </c>
    </row>
    <row r="15" spans="1:6" ht="23.25" customHeight="1" x14ac:dyDescent="0.25">
      <c r="A15" s="19">
        <v>11</v>
      </c>
      <c r="B15" s="20" t="s">
        <v>77</v>
      </c>
      <c r="C15" s="21"/>
      <c r="D15" s="21" t="s">
        <v>32</v>
      </c>
      <c r="E15" s="21"/>
      <c r="F15" s="20" t="s">
        <v>82</v>
      </c>
    </row>
    <row r="16" spans="1:6" ht="23.25" customHeight="1" x14ac:dyDescent="0.25">
      <c r="A16" s="19">
        <v>12</v>
      </c>
      <c r="B16" s="20" t="s">
        <v>84</v>
      </c>
      <c r="C16" s="21"/>
      <c r="D16" s="21" t="s">
        <v>32</v>
      </c>
      <c r="E16" s="21"/>
      <c r="F16" s="20" t="s">
        <v>86</v>
      </c>
    </row>
    <row r="17" spans="1:6" ht="23.25" customHeight="1" x14ac:dyDescent="0.25">
      <c r="A17" s="19">
        <v>13</v>
      </c>
      <c r="B17" s="20" t="s">
        <v>87</v>
      </c>
      <c r="C17" s="21"/>
      <c r="D17" s="21" t="s">
        <v>32</v>
      </c>
      <c r="E17" s="21"/>
      <c r="F17" s="20" t="s">
        <v>88</v>
      </c>
    </row>
    <row r="18" spans="1:6" ht="15" customHeight="1" x14ac:dyDescent="0.25">
      <c r="A18" s="19">
        <v>14</v>
      </c>
      <c r="B18" s="20" t="s">
        <v>89</v>
      </c>
      <c r="C18" s="21"/>
      <c r="D18" s="21" t="s">
        <v>32</v>
      </c>
      <c r="E18" s="21"/>
      <c r="F18" s="20" t="s">
        <v>91</v>
      </c>
    </row>
    <row r="19" spans="1:6" ht="23.25" customHeight="1" x14ac:dyDescent="0.25">
      <c r="A19" s="19">
        <v>15</v>
      </c>
      <c r="B19" s="20" t="s">
        <v>92</v>
      </c>
      <c r="C19" s="21"/>
      <c r="D19" s="21" t="s">
        <v>32</v>
      </c>
      <c r="E19" s="21"/>
      <c r="F19" s="20" t="s">
        <v>93</v>
      </c>
    </row>
    <row r="20" spans="1:6" ht="23.25" customHeight="1" x14ac:dyDescent="0.25">
      <c r="A20" s="12">
        <v>16</v>
      </c>
      <c r="B20" s="13" t="s">
        <v>47</v>
      </c>
      <c r="C20" s="15"/>
      <c r="D20" s="15" t="s">
        <v>32</v>
      </c>
      <c r="E20" s="15"/>
      <c r="F20" s="17" t="s">
        <v>95</v>
      </c>
    </row>
    <row r="21" spans="1:6" ht="23.25" customHeight="1" x14ac:dyDescent="0.25">
      <c r="A21" s="2">
        <v>17</v>
      </c>
      <c r="B21" s="23" t="s">
        <v>99</v>
      </c>
      <c r="C21" s="15"/>
      <c r="D21" s="15" t="s">
        <v>32</v>
      </c>
      <c r="E21" s="15"/>
      <c r="F21" s="23" t="s">
        <v>105</v>
      </c>
    </row>
    <row r="22" spans="1:6" ht="15" customHeight="1" x14ac:dyDescent="0.25">
      <c r="A22" s="2">
        <v>18</v>
      </c>
      <c r="B22" s="23" t="s">
        <v>107</v>
      </c>
      <c r="C22" s="15"/>
      <c r="D22" s="15" t="s">
        <v>32</v>
      </c>
      <c r="E22" s="15"/>
      <c r="F22" s="23" t="s">
        <v>108</v>
      </c>
    </row>
    <row r="23" spans="1:6" ht="23.25" customHeight="1" x14ac:dyDescent="0.25">
      <c r="A23" s="2">
        <v>19</v>
      </c>
      <c r="B23" s="23" t="s">
        <v>109</v>
      </c>
      <c r="C23" s="15"/>
      <c r="D23" s="15" t="s">
        <v>32</v>
      </c>
      <c r="E23" s="15"/>
      <c r="F23" s="23" t="s">
        <v>112</v>
      </c>
    </row>
    <row r="24" spans="1:6" ht="23.25" customHeight="1" x14ac:dyDescent="0.25">
      <c r="A24" s="2">
        <v>20</v>
      </c>
      <c r="B24" s="23" t="s">
        <v>114</v>
      </c>
      <c r="C24" s="15"/>
      <c r="D24" s="15" t="s">
        <v>32</v>
      </c>
      <c r="E24" s="15"/>
      <c r="F24" s="23" t="s">
        <v>118</v>
      </c>
    </row>
    <row r="25" spans="1:6" ht="23.25" customHeight="1" x14ac:dyDescent="0.25">
      <c r="A25" s="2">
        <v>21</v>
      </c>
      <c r="B25" s="23" t="s">
        <v>121</v>
      </c>
      <c r="C25" s="15"/>
      <c r="D25" s="15" t="s">
        <v>32</v>
      </c>
      <c r="E25" s="15"/>
      <c r="F25" s="23" t="s">
        <v>123</v>
      </c>
    </row>
    <row r="26" spans="1:6" ht="15" customHeight="1" x14ac:dyDescent="0.25">
      <c r="A26" s="2">
        <v>22</v>
      </c>
      <c r="B26" s="23" t="s">
        <v>125</v>
      </c>
      <c r="C26" s="15"/>
      <c r="D26" s="15" t="s">
        <v>32</v>
      </c>
      <c r="E26" s="15"/>
      <c r="F26" s="23" t="s">
        <v>126</v>
      </c>
    </row>
    <row r="27" spans="1:6" ht="15" customHeight="1" x14ac:dyDescent="0.25">
      <c r="A27" s="12">
        <v>23</v>
      </c>
      <c r="B27" s="13" t="s">
        <v>53</v>
      </c>
      <c r="C27" s="15"/>
      <c r="D27" s="15" t="s">
        <v>32</v>
      </c>
      <c r="E27" s="15"/>
      <c r="F27" s="17" t="s">
        <v>127</v>
      </c>
    </row>
    <row r="28" spans="1:6" ht="23.25" customHeight="1" x14ac:dyDescent="0.25">
      <c r="A28" s="26">
        <v>24</v>
      </c>
      <c r="B28" s="27" t="s">
        <v>130</v>
      </c>
      <c r="C28" s="28"/>
      <c r="D28" s="28" t="s">
        <v>32</v>
      </c>
      <c r="E28" s="28"/>
      <c r="F28" s="27" t="s">
        <v>131</v>
      </c>
    </row>
    <row r="29" spans="1:6" ht="23.25" customHeight="1" x14ac:dyDescent="0.25">
      <c r="A29" s="26">
        <v>25</v>
      </c>
      <c r="B29" s="27" t="s">
        <v>132</v>
      </c>
      <c r="C29" s="28"/>
      <c r="D29" s="28" t="s">
        <v>32</v>
      </c>
      <c r="E29" s="28"/>
      <c r="F29" s="27" t="s">
        <v>133</v>
      </c>
    </row>
    <row r="30" spans="1:6" ht="23.25" customHeight="1" x14ac:dyDescent="0.25">
      <c r="A30" s="26">
        <v>26</v>
      </c>
      <c r="B30" s="27" t="s">
        <v>134</v>
      </c>
      <c r="C30" s="28"/>
      <c r="D30" s="28" t="s">
        <v>32</v>
      </c>
      <c r="E30" s="28"/>
      <c r="F30" s="27" t="s">
        <v>135</v>
      </c>
    </row>
    <row r="31" spans="1:6" ht="23.25" customHeight="1" x14ac:dyDescent="0.25">
      <c r="A31" s="26">
        <v>27</v>
      </c>
      <c r="B31" s="27" t="s">
        <v>136</v>
      </c>
      <c r="C31" s="28"/>
      <c r="D31" s="28" t="s">
        <v>32</v>
      </c>
      <c r="E31" s="28"/>
      <c r="F31" s="27" t="s">
        <v>137</v>
      </c>
    </row>
    <row r="32" spans="1:6" ht="23.25" customHeight="1" x14ac:dyDescent="0.25">
      <c r="A32" s="26">
        <v>28</v>
      </c>
      <c r="B32" s="27" t="s">
        <v>138</v>
      </c>
      <c r="C32" s="28"/>
      <c r="D32" s="28" t="s">
        <v>32</v>
      </c>
      <c r="E32" s="28"/>
      <c r="F32" s="27" t="s">
        <v>139</v>
      </c>
    </row>
    <row r="33" spans="1:6" ht="23.25" customHeight="1" x14ac:dyDescent="0.25">
      <c r="A33" s="26">
        <v>29</v>
      </c>
      <c r="B33" s="27" t="s">
        <v>140</v>
      </c>
      <c r="C33" s="28"/>
      <c r="D33" s="28" t="s">
        <v>32</v>
      </c>
      <c r="E33" s="28"/>
      <c r="F33" s="27" t="s">
        <v>141</v>
      </c>
    </row>
    <row r="34" spans="1:6" ht="15" customHeight="1" x14ac:dyDescent="0.25">
      <c r="A34" s="12">
        <v>30</v>
      </c>
      <c r="B34" s="13" t="s">
        <v>65</v>
      </c>
      <c r="C34" s="15"/>
      <c r="D34" s="15" t="s">
        <v>32</v>
      </c>
      <c r="E34" s="15"/>
      <c r="F34" s="17" t="s">
        <v>142</v>
      </c>
    </row>
    <row r="35" spans="1:6" ht="23.25" customHeight="1" x14ac:dyDescent="0.25">
      <c r="A35" s="30">
        <v>31</v>
      </c>
      <c r="B35" s="31" t="s">
        <v>143</v>
      </c>
      <c r="C35" s="32"/>
      <c r="D35" s="32" t="s">
        <v>32</v>
      </c>
      <c r="E35" s="32"/>
      <c r="F35" s="31" t="s">
        <v>146</v>
      </c>
    </row>
    <row r="36" spans="1:6" ht="15" customHeight="1" x14ac:dyDescent="0.25">
      <c r="A36" s="30">
        <v>32</v>
      </c>
      <c r="B36" s="31" t="s">
        <v>147</v>
      </c>
      <c r="C36" s="32"/>
      <c r="D36" s="32" t="s">
        <v>32</v>
      </c>
      <c r="E36" s="32"/>
      <c r="F36" s="31" t="s">
        <v>148</v>
      </c>
    </row>
    <row r="37" spans="1:6" ht="23.25" customHeight="1" x14ac:dyDescent="0.25">
      <c r="A37" s="30">
        <v>33</v>
      </c>
      <c r="B37" s="31" t="s">
        <v>149</v>
      </c>
      <c r="C37" s="32"/>
      <c r="D37" s="32" t="s">
        <v>32</v>
      </c>
      <c r="E37" s="32"/>
      <c r="F37" s="31" t="s">
        <v>150</v>
      </c>
    </row>
    <row r="38" spans="1:6" ht="15" customHeight="1" x14ac:dyDescent="0.25">
      <c r="A38" s="30">
        <v>34</v>
      </c>
      <c r="B38" s="31" t="s">
        <v>151</v>
      </c>
      <c r="C38" s="32"/>
      <c r="D38" s="32" t="s">
        <v>32</v>
      </c>
      <c r="E38" s="32"/>
      <c r="F38" s="31" t="s">
        <v>152</v>
      </c>
    </row>
    <row r="39" spans="1:6" ht="15" customHeight="1" x14ac:dyDescent="0.25">
      <c r="A39" s="30">
        <v>35</v>
      </c>
      <c r="B39" s="31" t="s">
        <v>153</v>
      </c>
      <c r="C39" s="32"/>
      <c r="D39" s="32" t="s">
        <v>32</v>
      </c>
      <c r="E39" s="32"/>
      <c r="F39" s="31" t="s">
        <v>154</v>
      </c>
    </row>
    <row r="40" spans="1:6" ht="15" customHeight="1" x14ac:dyDescent="0.25">
      <c r="A40" s="12">
        <v>36</v>
      </c>
      <c r="B40" s="13" t="s">
        <v>73</v>
      </c>
      <c r="C40" s="15"/>
      <c r="D40" s="15" t="s">
        <v>32</v>
      </c>
      <c r="E40" s="15"/>
      <c r="F40" s="17" t="s">
        <v>155</v>
      </c>
    </row>
    <row r="41" spans="1:6" ht="23.25" customHeight="1" x14ac:dyDescent="0.25">
      <c r="A41" s="35">
        <v>37</v>
      </c>
      <c r="B41" s="36" t="s">
        <v>158</v>
      </c>
      <c r="C41" s="37"/>
      <c r="D41" s="37"/>
      <c r="E41" s="37" t="s">
        <v>32</v>
      </c>
      <c r="F41" s="36" t="s">
        <v>160</v>
      </c>
    </row>
    <row r="42" spans="1:6" ht="23.25" customHeight="1" x14ac:dyDescent="0.25">
      <c r="A42" s="35">
        <v>38</v>
      </c>
      <c r="B42" s="36" t="s">
        <v>161</v>
      </c>
      <c r="C42" s="37"/>
      <c r="D42" s="37"/>
      <c r="E42" s="37" t="s">
        <v>32</v>
      </c>
      <c r="F42" s="36" t="s">
        <v>162</v>
      </c>
    </row>
    <row r="43" spans="1:6" ht="15" customHeight="1" x14ac:dyDescent="0.25">
      <c r="A43" s="35">
        <v>39</v>
      </c>
      <c r="B43" s="36" t="s">
        <v>163</v>
      </c>
      <c r="C43" s="37"/>
      <c r="D43" s="37"/>
      <c r="E43" s="37" t="s">
        <v>32</v>
      </c>
      <c r="F43" s="36" t="s">
        <v>164</v>
      </c>
    </row>
    <row r="44" spans="1:6" ht="15" customHeight="1" x14ac:dyDescent="0.25">
      <c r="A44" s="12">
        <v>40</v>
      </c>
      <c r="B44" s="13" t="s">
        <v>78</v>
      </c>
      <c r="C44" s="15"/>
      <c r="D44" s="15"/>
      <c r="E44" s="15" t="s">
        <v>32</v>
      </c>
      <c r="F44" s="17" t="s">
        <v>165</v>
      </c>
    </row>
    <row r="45" spans="1:6" ht="15" customHeight="1" x14ac:dyDescent="0.25">
      <c r="A45" s="12">
        <v>41</v>
      </c>
      <c r="B45" s="13" t="s">
        <v>166</v>
      </c>
      <c r="C45" s="15"/>
      <c r="D45" s="15"/>
      <c r="E45" s="15" t="s">
        <v>32</v>
      </c>
      <c r="F45" s="17" t="s">
        <v>167</v>
      </c>
    </row>
    <row r="46" spans="1:6" ht="23.25" customHeight="1" x14ac:dyDescent="0.25">
      <c r="A46" s="38">
        <v>42</v>
      </c>
      <c r="B46" s="39" t="s">
        <v>168</v>
      </c>
      <c r="C46" s="41" t="s">
        <v>32</v>
      </c>
      <c r="D46" s="41" t="s">
        <v>32</v>
      </c>
      <c r="E46" s="41" t="s">
        <v>32</v>
      </c>
      <c r="F46" s="39" t="s">
        <v>170</v>
      </c>
    </row>
    <row r="47" spans="1:6" ht="23.25" customHeight="1" x14ac:dyDescent="0.25">
      <c r="A47" s="38">
        <v>43</v>
      </c>
      <c r="B47" s="39" t="s">
        <v>171</v>
      </c>
      <c r="C47" s="41" t="s">
        <v>32</v>
      </c>
      <c r="D47" s="41" t="s">
        <v>32</v>
      </c>
      <c r="E47" s="41" t="s">
        <v>32</v>
      </c>
      <c r="F47" s="39" t="s">
        <v>173</v>
      </c>
    </row>
    <row r="48" spans="1:6" ht="23.25" customHeight="1" x14ac:dyDescent="0.25">
      <c r="A48" s="38">
        <v>44</v>
      </c>
      <c r="B48" s="39" t="s">
        <v>174</v>
      </c>
      <c r="C48" s="41" t="s">
        <v>32</v>
      </c>
      <c r="D48" s="41" t="s">
        <v>32</v>
      </c>
      <c r="E48" s="41" t="s">
        <v>32</v>
      </c>
      <c r="F48" s="39" t="s">
        <v>175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F1"/>
    <mergeCell ref="A2:F2"/>
  </mergeCells>
  <pageMargins left="0.75" right="0.75" top="1" bottom="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Carta Gantt</vt:lpstr>
      <vt:lpstr>Resumen Ejecutivo</vt:lpstr>
      <vt:lpstr>Hitos</vt:lpstr>
      <vt:lpstr>Descripcion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ANDRES ARAYA HERNANDEZ</cp:lastModifiedBy>
  <dcterms:created xsi:type="dcterms:W3CDTF">2026-09-09T00:41:56Z</dcterms:created>
  <dcterms:modified xsi:type="dcterms:W3CDTF">2026-10-31T12:44:57Z</dcterms:modified>
</cp:coreProperties>
</file>